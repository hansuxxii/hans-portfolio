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13674675e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Preview" sheetId="1" r:id="Rd0d062188f4a4677"/>
    <x:sheet xmlns:r="http://schemas.openxmlformats.org/officeDocument/2006/relationships" name="Contract Tracker" sheetId="2" r:id="R1ac33397dedc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"/>
  </x:numFmts>
  <x:fonts count="2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57384"/>
      <x:name val="Carlito"/>
    </x:font>
    <x:font>
      <x:b/>
      <x:sz val="10"/>
      <x:color rgb="FFFFFFFF"/>
      <x:name val="Carlito"/>
    </x:font>
    <x:font>
      <x:b/>
      <x:sz val="22"/>
      <x:color rgb="FF172B4D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  <x:font>
      <x:b/>
      <x:sz val="10"/>
      <x:color rgb="FF172B4D"/>
      <x:name val="Carlito"/>
    </x:font>
    <x:font>
      <x:i/>
      <x:sz val="9"/>
      <x:color rgb="FF6D5521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0"/>
      <x:color rgb="FF657384"/>
      <x:name val="Aptos"/>
    </x:font>
    <x:font>
      <x:b/>
      <x:sz val="10"/>
      <x:color rgb="FFFFFFFF"/>
      <x:name val="Aptos"/>
    </x:font>
    <x:font>
      <x:b/>
      <x:sz val="22"/>
      <x:color rgb="FF172B4D"/>
      <x:name val="Aptos"/>
    </x:font>
    <x:font>
      <x:b/>
      <x:sz val="11"/>
      <x:color rgb="FFFFFFFF"/>
      <x:name val="Aptos"/>
    </x:font>
    <x:font>
      <x:b/>
      <x:sz val="10"/>
      <x:color rgb="FF172B4D"/>
      <x:name val="Aptos"/>
    </x:font>
    <x:font>
      <x:sz val="10"/>
      <x:color rgb="FF203040"/>
      <x:name val="Aptos"/>
    </x:font>
    <x:font>
      <x:i/>
      <x:sz val="9"/>
      <x:color rgb="FF6D5521"/>
      <x:name val="Aptos"/>
    </x:font>
    <x:font>
      <x:b/>
      <x:sz val="18"/>
      <x:color rgb="FFFFFFFF"/>
      <x:name val="Carlito"/>
    </x:font>
    <x:font>
      <x:sz val="9"/>
      <x:color rgb="FF203040"/>
      <x:name val="Carlito"/>
    </x:font>
    <x:font>
      <x:b/>
      <x:sz val="18"/>
      <x:color rgb="FFFFFFFF"/>
      <x:name val="Aptos"/>
    </x:font>
    <x:font>
      <x:sz val="9"/>
      <x:color rgb="FF20304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EF3F8"/>
      </x:patternFill>
    </x:fill>
    <x:fill>
      <x:patternFill patternType="solid">
        <x:fgColor rgb="FF2A7F7F"/>
      </x:patternFill>
    </x:fill>
    <x:fill>
      <x:patternFill patternType="solid">
        <x:fgColor rgb="FFEAF6F5"/>
      </x:patternFill>
    </x:fill>
    <x:fill>
      <x:patternFill patternType="solid">
        <x:fgColor rgb="FFD5A848"/>
      </x:patternFill>
    </x:fill>
    <x:fill>
      <x:patternFill patternType="solid">
        <x:fgColor rgb="FFFFF7E3"/>
      </x:patternFill>
    </x:fill>
  </x:fills>
  <x:borders count="7">
    <x:border/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3" fillId="5" borderId="1" xfId="0" applyNumberFormat="1" applyFont="1" applyFill="1" applyBorder="1" applyAlignment="1">
      <x:alignment horizontal="center" vertical="center"/>
    </x:xf>
    <x:xf numFmtId="0" fontId="13" fillId="5" borderId="2" xfId="0" applyNumberFormat="1" applyFont="1" applyFill="1" applyBorder="1" applyAlignment="1">
      <x:alignment horizontal="center" vertical="center"/>
    </x:xf>
    <x:xf numFmtId="0" fontId="13" fillId="5" borderId="3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/>
    <x:xf numFmtId="0" fontId="15" fillId="6" borderId="0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0" borderId="6" xfId="0" applyNumberFormat="1" applyFont="1" applyFill="1" applyBorder="1"/>
    <x:xf numFmtId="0" fontId="19" fillId="0" borderId="6" xfId="0" applyNumberFormat="1" applyFont="1" applyFill="1" applyBorder="1" applyAlignment="1">
      <x:alignment wrapText="1"/>
    </x:xf>
    <x:xf numFmtId="0" fontId="19" fillId="0" borderId="6" xfId="0" applyNumberFormat="1" applyFont="1" applyFill="1" applyBorder="1" applyAlignment="1">
      <x:alignment vertical="top" wrapText="1"/>
    </x:xf>
    <x:xf numFmtId="200" fontId="19" fillId="0" borderId="6" xfId="0" applyNumberFormat="1" applyFont="1" applyFill="1" applyBorder="1" applyAlignment="1">
      <x:alignment vertical="top" wrapText="1"/>
    </x:xf>
    <x:xf numFmtId="201" fontId="19" fillId="0" borderId="6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2" fillId="4" borderId="5" xfId="0" applyNumberFormat="1" applyFont="1" applyFill="1" applyBorder="1" applyAlignment="1">
      <x:alignment vertical="center" wrapText="1"/>
    </x:xf>
    <x:xf numFmtId="0" fontId="21" fillId="0" borderId="6" xfId="0" applyNumberFormat="1" applyFont="1" applyFill="1" applyBorder="1" applyAlignment="1">
      <x:alignment vertical="top" wrapText="1"/>
    </x:xf>
    <x:xf numFmtId="200" fontId="21" fillId="0" borderId="6" xfId="0" applyNumberFormat="1" applyFont="1" applyFill="1" applyBorder="1" applyAlignment="1">
      <x:alignment vertical="top" wrapText="1"/>
    </x:xf>
    <x:xf numFmtId="201" fontId="2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E2A2B"/>
      </x:font>
      <x:fill>
        <x:patternFill patternType="solid">
          <x:bgColor rgb="FFFDE8E7"/>
        </x:patternFill>
      </x:fill>
    </x:dxf>
    <x:dxf>
      <x:font>
        <x:b/>
        <x:color rgb="FF6D5521"/>
      </x:font>
      <x:fill>
        <x:patternFill patternType="solid">
          <x:bgColor rgb="FFFFF2CC"/>
        </x:patternFill>
      </x:fill>
    </x:dxf>
    <x:dxf>
      <x:font>
        <x:b/>
        <x:color rgb="FF25633A"/>
      </x:font>
      <x:fill>
        <x:patternFill patternType="solid">
          <x:bgColor rgb="FFE5F3E8"/>
        </x:patternFill>
      </x:fill>
    </x:dxf>
    <x:dxf>
      <x:font>
        <x:b/>
        <x:color rgb="FF657384"/>
      </x:font>
      <x:fill>
        <x:patternFill patternType="solid">
          <x:bgColor rgb="FFEE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2896df1094c6f" /><Relationship Type="http://schemas.openxmlformats.org/officeDocument/2006/relationships/theme" Target="/xl/theme/theme1.xml" Id="R542e618ab8044bd1" /><Relationship Type="http://schemas.openxmlformats.org/officeDocument/2006/relationships/sharedStrings" Target="/xl/sharedStrings.xml" Id="R978596e8e94c4079" /><Relationship Type="http://schemas.openxmlformats.org/officeDocument/2006/relationships/worksheet" Target="/xl/worksheets/sheet1.xml" Id="Rd0d062188f4a4677" /><Relationship Type="http://schemas.openxmlformats.org/officeDocument/2006/relationships/worksheet" Target="/xl/worksheets/sheet2.xml" Id="R1ac33397dedc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" hidden="0" customWidth="1"/>
    <x:col min="4" max="4" width="10" hidden="0" customWidth="1"/>
    <x:col min="5" max="5" width="22" hidden="0" customWidth="1"/>
    <x:col min="6" max="6" width="3" hidden="0" customWidth="1"/>
    <x:col min="7" max="7" width="10" hidden="0" customWidth="1"/>
    <x:col min="8" max="8" width="22" hidden="0" customWidth="1"/>
  </x:cols>
  <x:sheetData>
    <x:row r="1" ht="26" customHeight="1">
      <x:c r="A1" s="36" t="str">
        <x:v>CONTRACT REQUEST &amp; SIGNATURE TRACKER</x:v>
      </x:c>
      <x:c r="B1" s="36"/>
      <x:c r="C1" s="36"/>
      <x:c r="D1" s="36"/>
      <x:c r="E1" s="36"/>
      <x:c r="F1" s="36"/>
      <x:c r="G1" s="36"/>
      <x:c r="H1" s="36"/>
    </x:row>
    <x:row r="2" ht="26" customHeight="1">
      <x:c r="A2" s="36"/>
      <x:c r="B2" s="36"/>
      <x:c r="C2" s="36"/>
      <x:c r="D2" s="36"/>
      <x:c r="E2" s="36"/>
      <x:c r="F2" s="36"/>
      <x:c r="G2" s="36"/>
      <x:c r="H2" s="36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 ht="28" customHeight="1">
      <x:c r="A4" s="38" t="str">
        <x:v>Illustrative portfolio sample - all organizations, people, links, IDs, dates, and notes are fictional.</x:v>
      </x:c>
      <x:c r="B4" s="38"/>
      <x:c r="C4" s="38"/>
      <x:c r="D4" s="38"/>
      <x:c r="E4" s="38"/>
      <x:c r="F4" s="38"/>
      <x:c r="G4" s="38"/>
      <x:c r="H4" s="38"/>
    </x:row>
    <x:row r="5">
      <x:c r="A5" s="37"/>
      <x:c r="B5" s="37"/>
      <x:c r="C5" s="37"/>
      <x:c r="D5" s="37"/>
      <x:c r="E5" s="37"/>
      <x:c r="F5" s="37"/>
      <x:c r="G5" s="37"/>
      <x:c r="H5" s="37"/>
    </x:row>
    <x:row r="6">
      <x:c r="A6" s="39" t="str">
        <x:v>OPEN REQUESTS</x:v>
      </x:c>
      <x:c r="B6" s="39"/>
      <x:c r="C6" s="37"/>
      <x:c r="D6" s="39" t="str">
        <x:v>AWAITING SIGNATURE</x:v>
      </x:c>
      <x:c r="E6" s="39"/>
      <x:c r="F6" s="37"/>
      <x:c r="G6" s="39" t="str">
        <x:v>COMPLETED</x:v>
      </x:c>
      <x:c r="H6" s="39"/>
    </x:row>
    <x:row r="7" ht="28" customHeight="1">
      <x:c r="A7" s="40" t="n">
        <x:f>COUNTIF('Contract Tracker'!$F$6:$F$15,"In Review")+COUNTIF('Contract Tracker'!$F$6:$F$15,"Drafting")</x:f>
        <x:v>4</x:v>
      </x:c>
      <x:c r="B7" s="41"/>
      <x:c r="C7" s="37"/>
      <x:c r="D7" s="40" t="n">
        <x:f>COUNTIF('Contract Tracker'!$F$6:$F$15,"Awaiting Signature")</x:f>
        <x:v>2</x:v>
      </x:c>
      <x:c r="E7" s="41"/>
      <x:c r="F7" s="37"/>
      <x:c r="G7" s="40" t="n">
        <x:f>COUNTIF('Contract Tracker'!$F$6:$F$15,"Completed")</x:f>
        <x:v>2</x:v>
      </x:c>
      <x:c r="H7" s="41"/>
    </x:row>
    <x:row r="8" ht="28" customHeight="1">
      <x:c r="A8" s="42"/>
      <x:c r="B8" s="43"/>
      <x:c r="C8" s="37"/>
      <x:c r="D8" s="42"/>
      <x:c r="E8" s="43"/>
      <x:c r="F8" s="37"/>
      <x:c r="G8" s="42"/>
      <x:c r="H8" s="43"/>
    </x:row>
    <x:row r="9">
      <x:c r="A9" s="37"/>
      <x:c r="B9" s="37"/>
      <x:c r="C9" s="37"/>
      <x:c r="D9" s="37"/>
      <x:c r="E9" s="37"/>
      <x:c r="F9" s="37"/>
      <x:c r="G9" s="37"/>
      <x:c r="H9" s="37"/>
    </x:row>
    <x:row r="10">
      <x:c r="A10" s="37"/>
      <x:c r="B10" s="37"/>
      <x:c r="C10" s="37"/>
      <x:c r="D10" s="37"/>
      <x:c r="E10" s="37"/>
      <x:c r="F10" s="37"/>
      <x:c r="G10" s="37"/>
      <x:c r="H10" s="37"/>
    </x:row>
    <x:row r="11">
      <x:c r="A11" s="44" t="str">
        <x:v>WHAT THIS SAMPLE DEMONSTRATES</x:v>
      </x:c>
      <x:c r="B11" s="44"/>
      <x:c r="C11" s="44"/>
      <x:c r="D11" s="44"/>
      <x:c r="E11" s="44"/>
      <x:c r="F11" s="44"/>
      <x:c r="G11" s="44"/>
      <x:c r="H11" s="44"/>
    </x:row>
    <x:row r="12">
      <x:c r="A12" s="45" t="str">
        <x:v>1</x:v>
      </x:c>
      <x:c r="B12" s="46" t="str">
        <x:v>Centralized intake</x:v>
      </x:c>
      <x:c r="C12" s="46" t="str"/>
      <x:c r="D12" s="45" t="str">
        <x:v>2</x:v>
      </x:c>
      <x:c r="E12" s="46" t="str">
        <x:v>Ownership and follow-up</x:v>
      </x:c>
      <x:c r="F12" s="46" t="str"/>
      <x:c r="G12" s="45" t="str">
        <x:v>3</x:v>
      </x:c>
      <x:c r="H12" s="46" t="str">
        <x:v>Signature tracking</x:v>
      </x:c>
    </x:row>
    <x:row r="13" ht="48" customHeight="1">
      <x:c r="A13" s="46" t="str"/>
      <x:c r="B13" s="46" t="str">
        <x:v>Requests are organized by agreement type, owner, priority, and intake channel.</x:v>
      </x:c>
      <x:c r="C13" s="46" t="str"/>
      <x:c r="D13" s="46" t="str"/>
      <x:c r="E13" s="46" t="str">
        <x:v>Next actions, due dates, and aging indicators make handoffs visible.</x:v>
      </x:c>
      <x:c r="F13" s="46" t="str"/>
      <x:c r="G13" s="46" t="str"/>
      <x:c r="H13" s="46" t="str">
        <x:v>Drafting, review, approval, and e-signature stages are tracked through completion.</x:v>
      </x:c>
    </x:row>
    <x:row r="14">
      <x:c r="A14" s="46" t="str"/>
      <x:c r="B14" s="46" t="str"/>
      <x:c r="C14" s="46" t="str"/>
      <x:c r="D14" s="46" t="str"/>
      <x:c r="E14" s="46" t="str"/>
      <x:c r="F14" s="46" t="str"/>
      <x:c r="G14" s="46" t="str"/>
      <x:c r="H14" s="46" t="str"/>
    </x:row>
    <x:row r="15" ht="44" customHeight="1">
      <x:c r="A15" s="46" t="str"/>
      <x:c r="B15" s="46" t="str">
        <x:v>Portfolio attribution</x:v>
      </x:c>
      <x:c r="C15" s="46" t="str"/>
      <x:c r="D15" s="46" t="str">
        <x:v>Maintained and updated by Hans Bragas in a Contract Coordinator role.</x:v>
      </x:c>
      <x:c r="E15" s="46" t="str">
        <x:v>Maintained and updated by Hans Bragas in a Contract Coordinator role.</x:v>
      </x:c>
      <x:c r="F15" s="46" t="str"/>
      <x:c r="G15" s="46" t="str"/>
      <x:c r="H15" s="46" t="str"/>
    </x:row>
    <x:row r="16">
      <x:c r="A16" s="37"/>
      <x:c r="B16" s="37"/>
      <x:c r="C16" s="37"/>
      <x:c r="D16" s="37"/>
      <x:c r="E16" s="37"/>
      <x:c r="F16" s="37"/>
      <x:c r="G16" s="37"/>
      <x:c r="H16" s="37"/>
    </x:row>
    <x:row r="17" ht="24" customHeight="1">
      <x:c r="A17" s="47" t="str">
        <x:v>This sample illustrates administrative contract operations support and does not contain legal advice or confidential employer/client information.</x:v>
      </x:c>
      <x:c r="B17" s="47"/>
      <x:c r="C17" s="47"/>
      <x:c r="D17" s="47"/>
      <x:c r="E17" s="47"/>
      <x:c r="F17" s="47"/>
      <x:c r="G17" s="47"/>
      <x:c r="H17" s="47"/>
    </x:row>
    <x:row r="18" ht="24" customHeight="1">
      <x:c r="A18" s="47"/>
      <x:c r="B18" s="47"/>
      <x:c r="C18" s="47"/>
      <x:c r="D18" s="47"/>
      <x:c r="E18" s="47"/>
      <x:c r="F18" s="47"/>
      <x:c r="G18" s="47"/>
      <x:c r="H18" s="47"/>
    </x:row>
    <x:row r="19">
      <x:c r="A19" s="37"/>
      <x:c r="B19" s="37"/>
      <x:c r="C19" s="37"/>
      <x:c r="D19" s="37"/>
      <x:c r="E19" s="37"/>
      <x:c r="F19" s="37"/>
      <x:c r="G19" s="37"/>
      <x:c r="H19" s="37"/>
    </x:row>
    <x:row r="20">
      <x:c r="A20" s="37"/>
      <x:c r="B20" s="37"/>
      <x:c r="C20" s="37"/>
      <x:c r="D20" s="37"/>
      <x:c r="E20" s="37"/>
      <x:c r="F20" s="37"/>
      <x:c r="G20" s="37"/>
      <x:c r="H20" s="37"/>
    </x:row>
  </x:sheetData>
  <x:mergeCells>
    <x:mergeCell ref="A1:H2"/>
    <x:mergeCell ref="A4:H4"/>
    <x:mergeCell ref="A6:B6"/>
    <x:mergeCell ref="D6:E6"/>
    <x:mergeCell ref="G6:H6"/>
    <x:mergeCell ref="A7:B8"/>
    <x:mergeCell ref="D7:E8"/>
    <x:mergeCell ref="G7:H8"/>
    <x:mergeCell ref="A11:H11"/>
    <x:mergeCell ref="B15:C15"/>
    <x:mergeCell ref="D15:H15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10" hidden="0" customWidth="1"/>
    <x:col min="5" max="5" width="13" hidden="0" customWidth="1"/>
    <x:col min="6" max="6" width="18" hidden="0" customWidth="1"/>
    <x:col min="7" max="7" width="18" hidden="0" customWidth="1"/>
    <x:col min="8" max="8" width="27" hidden="0" customWidth="1"/>
    <x:col min="9" max="9" width="13" hidden="0" customWidth="1"/>
    <x:col min="10" max="10" width="10" hidden="0" customWidth="1"/>
    <x:col min="11" max="11" width="12" hidden="0" customWidth="1"/>
    <x:col min="12" max="12" width="34" hidden="0" customWidth="1"/>
  </x:cols>
  <x:sheetData>
    <x:row r="1" ht="25" customHeight="1">
      <x:c r="A1" s="59" t="str">
        <x:v>FICTIONAL CONTRACT OPERATIONS TRACKER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5" customHeight="1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 ht="28" customHeight="1">
      <x:c r="A3" s="60" t="str">
        <x:v>Purpose: track document intake, review, approvals, signature routing, and follow-up ownership.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</x:row>
    <x:row r="5" ht="38" customHeight="1">
      <x:c r="A5" s="61" t="str">
        <x:v>Request ID</x:v>
      </x:c>
      <x:c r="B5" s="61" t="str">
        <x:v>Organization</x:v>
      </x:c>
      <x:c r="C5" s="61" t="str">
        <x:v>Agreement Type</x:v>
      </x:c>
      <x:c r="D5" s="61" t="str">
        <x:v>Priority</x:v>
      </x:c>
      <x:c r="E5" s="61" t="str">
        <x:v>Received</x:v>
      </x:c>
      <x:c r="F5" s="61" t="str">
        <x:v>Status</x:v>
      </x:c>
      <x:c r="G5" s="61" t="str">
        <x:v>Owner</x:v>
      </x:c>
      <x:c r="H5" s="61" t="str">
        <x:v>Next Action</x:v>
      </x:c>
      <x:c r="I5" s="61" t="str">
        <x:v>Due Date</x:v>
      </x:c>
      <x:c r="J5" s="61" t="str">
        <x:v>Days Open</x:v>
      </x:c>
      <x:c r="K5" s="61" t="str">
        <x:v>Follow-up</x:v>
      </x:c>
      <x:c r="L5" s="61" t="str">
        <x:v>Notes</x:v>
      </x:c>
    </x:row>
    <x:row r="6" ht="52" customHeight="1">
      <x:c r="A6" s="62" t="str">
        <x:v>CTR-2601</x:v>
      </x:c>
      <x:c r="B6" s="62" t="str">
        <x:v>Northstar Studio</x:v>
      </x:c>
      <x:c r="C6" s="62" t="str">
        <x:v>Service Order</x:v>
      </x:c>
      <x:c r="D6" s="62" t="str">
        <x:v>High</x:v>
      </x:c>
      <x:c r="E6" s="63" t="n">
        <x:v>46255</x:v>
      </x:c>
      <x:c r="F6" s="62" t="str">
        <x:v>Awaiting Signature</x:v>
      </x:c>
      <x:c r="G6" s="62" t="str">
        <x:v>Contract Coordinator</x:v>
      </x:c>
      <x:c r="H6" s="62" t="str">
        <x:v>Send signature reminder</x:v>
      </x:c>
      <x:c r="I6" s="63" t="n">
        <x:v>46269</x:v>
      </x:c>
      <x:c r="J6" s="64" t="n">
        <x:f>IF(F6="Completed",0,DATE(2026,9,3)-E6)</x:f>
        <x:v>13</x:v>
      </x:c>
      <x:c r="K6" s="62" t="str">
        <x:f>IF(F6="Completed","Closed",IF(I6&lt;DATE(2026,9,3),"Overdue",IF(I6-DATE(2026,9,3)&lt;=2,"Due Soon","On Track")))</x:f>
        <x:v>Due Soon</x:v>
      </x:c>
      <x:c r="L6" s="62" t="str">
        <x:v>Final version routed through e-signature platform.</x:v>
      </x:c>
    </x:row>
    <x:row r="7" ht="52" customHeight="1">
      <x:c r="A7" s="62" t="str">
        <x:v>CTR-2602</x:v>
      </x:c>
      <x:c r="B7" s="62" t="str">
        <x:v>Harborline Foods</x:v>
      </x:c>
      <x:c r="C7" s="62" t="str">
        <x:v>Change Order</x:v>
      </x:c>
      <x:c r="D7" s="62" t="str">
        <x:v>Medium</x:v>
      </x:c>
      <x:c r="E7" s="63" t="n">
        <x:v>46259</x:v>
      </x:c>
      <x:c r="F7" s="62" t="str">
        <x:v>In Review</x:v>
      </x:c>
      <x:c r="G7" s="62" t="str">
        <x:v>Legal</x:v>
      </x:c>
      <x:c r="H7" s="62" t="str">
        <x:v>Confirm revised pricing exhibit</x:v>
      </x:c>
      <x:c r="I7" s="63" t="n">
        <x:v>46273</x:v>
      </x:c>
      <x:c r="J7" s="64" t="n">
        <x:f>IF(F7="Completed",0,DATE(2026,9,3)-E7)</x:f>
        <x:v>9</x:v>
      </x:c>
      <x:c r="K7" s="62" t="str">
        <x:f>IF(F7="Completed","Closed",IF(I7&lt;DATE(2026,9,3),"Overdue",IF(I7-DATE(2026,9,3)&lt;=2,"Due Soon","On Track")))</x:f>
        <x:v>On Track</x:v>
      </x:c>
      <x:c r="L7" s="62" t="str">
        <x:v>Commercial terms confirmed; legal review pending.</x:v>
      </x:c>
    </x:row>
    <x:row r="8" ht="52" customHeight="1">
      <x:c r="A8" s="62" t="str">
        <x:v>CTR-2603</x:v>
      </x:c>
      <x:c r="B8" s="62" t="str">
        <x:v>Pine &amp; Pixel Co.</x:v>
      </x:c>
      <x:c r="C8" s="62" t="str">
        <x:v>Mutual NDA</x:v>
      </x:c>
      <x:c r="D8" s="62" t="str">
        <x:v>Low</x:v>
      </x:c>
      <x:c r="E8" s="63" t="n">
        <x:v>46262</x:v>
      </x:c>
      <x:c r="F8" s="62" t="str">
        <x:v>Completed</x:v>
      </x:c>
      <x:c r="G8" s="62" t="str">
        <x:v>Contract Coordinator</x:v>
      </x:c>
      <x:c r="H8" s="62" t="str">
        <x:v>Archive executed copy</x:v>
      </x:c>
      <x:c r="I8" s="63" t="n">
        <x:v>46266</x:v>
      </x:c>
      <x:c r="J8" s="64" t="n">
        <x:f>IF(F8="Completed",0,DATE(2026,9,3)-E8)</x:f>
        <x:v>0</x:v>
      </x:c>
      <x:c r="K8" s="62" t="str">
        <x:f>IF(F8="Completed","Closed",IF(I8&lt;DATE(2026,9,3),"Overdue",IF(I8-DATE(2026,9,3)&lt;=2,"Due Soon","On Track")))</x:f>
        <x:v>Closed</x:v>
      </x:c>
      <x:c r="L8" s="62" t="str">
        <x:v>Signed copy saved to the contract repository.</x:v>
      </x:c>
    </x:row>
    <x:row r="9" ht="52" customHeight="1">
      <x:c r="A9" s="62" t="str">
        <x:v>CTR-2604</x:v>
      </x:c>
      <x:c r="B9" s="62" t="str">
        <x:v>Bluebird Health</x:v>
      </x:c>
      <x:c r="C9" s="62" t="str">
        <x:v>DPA</x:v>
      </x:c>
      <x:c r="D9" s="62" t="str">
        <x:v>High</x:v>
      </x:c>
      <x:c r="E9" s="63" t="n">
        <x:v>46263</x:v>
      </x:c>
      <x:c r="F9" s="62" t="str">
        <x:v>In Review</x:v>
      </x:c>
      <x:c r="G9" s="62" t="str">
        <x:v>Privacy</x:v>
      </x:c>
      <x:c r="H9" s="62" t="str">
        <x:v>Review security schedule</x:v>
      </x:c>
      <x:c r="I9" s="63" t="n">
        <x:v>46270</x:v>
      </x:c>
      <x:c r="J9" s="64" t="n">
        <x:f>IF(F9="Completed",0,DATE(2026,9,3)-E9)</x:f>
        <x:v>5</x:v>
      </x:c>
      <x:c r="K9" s="62" t="str">
        <x:f>IF(F9="Completed","Closed",IF(I9&lt;DATE(2026,9,3),"Overdue",IF(I9-DATE(2026,9,3)&lt;=2,"Due Soon","On Track")))</x:f>
        <x:v>Due Soon</x:v>
      </x:c>
      <x:c r="L9" s="62" t="str">
        <x:v>Privacy questions assigned to the appropriate reviewer.</x:v>
      </x:c>
    </x:row>
    <x:row r="10" ht="52" customHeight="1">
      <x:c r="A10" s="62" t="str">
        <x:v>CTR-2605</x:v>
      </x:c>
      <x:c r="B10" s="62" t="str">
        <x:v>Maple Street Retail</x:v>
      </x:c>
      <x:c r="C10" s="62" t="str">
        <x:v>Amendment</x:v>
      </x:c>
      <x:c r="D10" s="62" t="str">
        <x:v>Medium</x:v>
      </x:c>
      <x:c r="E10" s="63" t="n">
        <x:v>46266</x:v>
      </x:c>
      <x:c r="F10" s="62" t="str">
        <x:v>Drafting</x:v>
      </x:c>
      <x:c r="G10" s="62" t="str">
        <x:v>Contract Coordinator</x:v>
      </x:c>
      <x:c r="H10" s="62" t="str">
        <x:v>Prepare clean draft</x:v>
      </x:c>
      <x:c r="I10" s="63" t="n">
        <x:v>46272</x:v>
      </x:c>
      <x:c r="J10" s="64" t="n">
        <x:f>IF(F10="Completed",0,DATE(2026,9,3)-E10)</x:f>
        <x:v>2</x:v>
      </x:c>
      <x:c r="K10" s="62" t="str">
        <x:f>IF(F10="Completed","Closed",IF(I10&lt;DATE(2026,9,3),"Overdue",IF(I10-DATE(2026,9,3)&lt;=2,"Due Soon","On Track")))</x:f>
        <x:v>On Track</x:v>
      </x:c>
      <x:c r="L10" s="62" t="str">
        <x:v>Approved business terms received through intake form.</x:v>
      </x:c>
    </x:row>
    <x:row r="11" ht="52" customHeight="1">
      <x:c r="A11" s="62" t="str">
        <x:v>CTR-2606</x:v>
      </x:c>
      <x:c r="B11" s="62" t="str">
        <x:v>Aurora Learning</x:v>
      </x:c>
      <x:c r="C11" s="62" t="str">
        <x:v>Statement of Work</x:v>
      </x:c>
      <x:c r="D11" s="62" t="str">
        <x:v>High</x:v>
      </x:c>
      <x:c r="E11" s="63" t="n">
        <x:v>46267</x:v>
      </x:c>
      <x:c r="F11" s="62" t="str">
        <x:v>Awaiting Signature</x:v>
      </x:c>
      <x:c r="G11" s="62" t="str">
        <x:v>Contract Coordinator</x:v>
      </x:c>
      <x:c r="H11" s="62" t="str">
        <x:v>Confirm signer details</x:v>
      </x:c>
      <x:c r="I11" s="63" t="n">
        <x:v>46271</x:v>
      </x:c>
      <x:c r="J11" s="64" t="n">
        <x:f>IF(F11="Completed",0,DATE(2026,9,3)-E11)</x:f>
        <x:v>1</x:v>
      </x:c>
      <x:c r="K11" s="62" t="str">
        <x:f>IF(F11="Completed","Closed",IF(I11&lt;DATE(2026,9,3),"Overdue",IF(I11-DATE(2026,9,3)&lt;=2,"Due Soon","On Track")))</x:f>
        <x:v>On Track</x:v>
      </x:c>
      <x:c r="L11" s="62" t="str">
        <x:v>Internal approvals complete.</x:v>
      </x:c>
    </x:row>
    <x:row r="12" ht="52" customHeight="1">
      <x:c r="A12" s="62" t="str">
        <x:v>CTR-2607</x:v>
      </x:c>
      <x:c r="B12" s="62" t="str">
        <x:v>Cedarworks Media</x:v>
      </x:c>
      <x:c r="C12" s="62" t="str">
        <x:v>Vendor Agreement</x:v>
      </x:c>
      <x:c r="D12" s="62" t="str">
        <x:v>Medium</x:v>
      </x:c>
      <x:c r="E12" s="63" t="n">
        <x:v>46258</x:v>
      </x:c>
      <x:c r="F12" s="62" t="str">
        <x:v>Completed</x:v>
      </x:c>
      <x:c r="G12" s="62" t="str">
        <x:v>Procurement</x:v>
      </x:c>
      <x:c r="H12" s="62" t="str">
        <x:v>Close request</x:v>
      </x:c>
      <x:c r="I12" s="63" t="n">
        <x:v>46265</x:v>
      </x:c>
      <x:c r="J12" s="64" t="n">
        <x:f>IF(F12="Completed",0,DATE(2026,9,3)-E12)</x:f>
        <x:v>0</x:v>
      </x:c>
      <x:c r="K12" s="62" t="str">
        <x:f>IF(F12="Completed","Closed",IF(I12&lt;DATE(2026,9,3),"Overdue",IF(I12-DATE(2026,9,3)&lt;=2,"Due Soon","On Track")))</x:f>
        <x:v>Closed</x:v>
      </x:c>
      <x:c r="L12" s="62" t="str">
        <x:v>Executed agreement and approval record archived.</x:v>
      </x:c>
    </x:row>
    <x:row r="13" ht="52" customHeight="1">
      <x:c r="A13" s="62" t="str">
        <x:v>CTR-2608</x:v>
      </x:c>
      <x:c r="B13" s="62" t="str">
        <x:v>Lumen Support</x:v>
      </x:c>
      <x:c r="C13" s="62" t="str">
        <x:v>Renewal Order</x:v>
      </x:c>
      <x:c r="D13" s="62" t="str">
        <x:v>Low</x:v>
      </x:c>
      <x:c r="E13" s="63" t="n">
        <x:v>46264</x:v>
      </x:c>
      <x:c r="F13" s="62" t="str">
        <x:v>In Review</x:v>
      </x:c>
      <x:c r="G13" s="62" t="str">
        <x:v>Operations</x:v>
      </x:c>
      <x:c r="H13" s="62" t="str">
        <x:v>Validate renewal date</x:v>
      </x:c>
      <x:c r="I13" s="63" t="n">
        <x:v>46275</x:v>
      </x:c>
      <x:c r="J13" s="64" t="n">
        <x:f>IF(F13="Completed",0,DATE(2026,9,3)-E13)</x:f>
        <x:v>4</x:v>
      </x:c>
      <x:c r="K13" s="62" t="str">
        <x:f>IF(F13="Completed","Closed",IF(I13&lt;DATE(2026,9,3),"Overdue",IF(I13-DATE(2026,9,3)&lt;=2,"Due Soon","On Track")))</x:f>
        <x:v>On Track</x:v>
      </x:c>
      <x:c r="L13" s="62" t="str">
        <x:v>Renewal notice requirements under review.</x:v>
      </x:c>
    </x:row>
  </x:sheetData>
  <x:mergeCells>
    <x:mergeCell ref="A1:L2"/>
    <x:mergeCell ref="A3:L3"/>
  </x:mergeCells>
  <x:conditionalFormatting sqref="K6:K13">
    <x:cfRule type="containsText" dxfId="0" priority="1" operator="containsText" text="Overdue"/>
    <x:cfRule type="containsText" dxfId="1" priority="2" operator="containsText" text="Due Soon"/>
    <x:cfRule type="containsText" dxfId="2" priority="3" operator="containsText" text="On Track"/>
    <x:cfRule type="containsText" dxfId="3" priority="4" operator="containsText" text="Closed"/>
  </x:conditionalFormatting>
  <x:dataValidations count="2">
    <x:dataValidation type="list" sqref="D6:D13">
      <x:formula1>"High,Medium,Low"</x:formula1>
    </x:dataValidation>
    <x:dataValidation type="list" sqref="F6:F13">
      <x:formula1>"Drafting,In Review,Awaiting Signature,Completed"</x:formula1>
    </x:dataValidation>
  </x:dataValidations>
  <x:pageMargins left="0.7" right="0.7" top="0.75" bottom="0.75" header="0.3" footer="0.3"/>
</x:worksheet>
</file>