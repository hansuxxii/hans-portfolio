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1db915f64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Preview" sheetId="1" r:id="Rb917096c0cc34d5c"/>
    <x:sheet xmlns:r="http://schemas.openxmlformats.org/officeDocument/2006/relationships" name="Evaluation Matrix" sheetId="2" r:id="Rfbcb0273519646a1"/>
    <x:sheet xmlns:r="http://schemas.openxmlformats.org/officeDocument/2006/relationships" name="Scoring Guide" sheetId="3" r:id="Re1882892c855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2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i/>
      <x:sz val="10"/>
      <x:color rgb="FF657384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sz val="8"/>
      <x:color rgb="FF203040"/>
      <x:name val="Aptos"/>
    </x:font>
    <x:font>
      <x:b/>
      <x:sz val="20"/>
      <x:color rgb="FFFFFFFF"/>
      <x:name val="Aptos"/>
    </x:font>
    <x:font>
      <x:b/>
      <x:sz val="22"/>
      <x:color rgb="FF172B4D"/>
      <x:name val="Aptos"/>
    </x:font>
    <x:font>
      <x:b/>
      <x:sz val="11"/>
      <x:color rgb="FFFFFFFF"/>
      <x:name val="Aptos"/>
    </x:font>
    <x:font>
      <x:sz val="10"/>
      <x:color rgb="FF203040"/>
      <x:name val="Aptos"/>
    </x:font>
    <x:font>
      <x:i/>
      <x:sz val="9"/>
      <x:color rgb="FF6D552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EF3F8"/>
      </x:patternFill>
    </x:fill>
    <x:fill>
      <x:patternFill patternType="solid">
        <x:fgColor rgb="FF5B3F8C"/>
      </x:patternFill>
    </x:fill>
    <x:fill>
      <x:patternFill patternType="solid">
        <x:fgColor rgb="FF2A7F7F"/>
      </x:patternFill>
    </x:fill>
    <x:fill>
      <x:patternFill patternType="solid">
        <x:fgColor rgb="FFF2EEF8"/>
      </x:patternFill>
    </x:fill>
    <x:fill>
      <x:patternFill patternType="solid">
        <x:fgColor rgb="FFEAF6F5"/>
      </x:patternFill>
    </x:fill>
    <x:fill>
      <x:patternFill patternType="solid">
        <x:fgColor rgb="FFFFF7E3"/>
      </x:patternFill>
    </x:fill>
  </x:fills>
  <x:borders count="12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</x:border>
    <x:border>
      <x:right style="thin">
        <x:color rgb="FFD8E0E8"/>
      </x:right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4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6" fillId="0" borderId="3" xfId="0" applyNumberFormat="1" applyFont="1" applyFill="1" applyBorder="1"/>
    <x:xf numFmtId="200" fontId="6" fillId="0" borderId="3" xfId="0" applyNumberFormat="1" applyFont="1" applyFill="1" applyBorder="1"/>
    <x:xf numFmtId="201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200" fontId="6" fillId="0" borderId="2" xfId="0" applyNumberFormat="1" applyFont="1" applyFill="1" applyBorder="1" applyAlignment="1">
      <x:alignment wrapText="1"/>
    </x:xf>
    <x:xf numFmtId="201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200" fontId="6" fillId="0" borderId="3" xfId="0" applyNumberFormat="1" applyFont="1" applyFill="1" applyBorder="1" applyAlignment="1">
      <x:alignment wrapText="1"/>
    </x:xf>
    <x:xf numFmtId="201" fontId="6" fillId="0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4" fillId="2" borderId="8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vertical="center"/>
    </x:xf>
    <x:xf numFmtId="201" fontId="4" fillId="2" borderId="1" xfId="0" applyNumberFormat="1" applyFont="1" applyFill="1" applyBorder="1" applyAlignment="1">
      <x:alignment vertical="center"/>
    </x:xf>
    <x:xf numFmtId="0" fontId="4" fillId="2" borderId="9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201" fontId="8" fillId="6" borderId="4" xfId="0" applyNumberFormat="1" applyFont="1" applyFill="1" applyBorder="1"/>
    <x:xf numFmtId="201" fontId="8" fillId="6" borderId="5" xfId="0" applyNumberFormat="1" applyFont="1" applyFill="1" applyBorder="1"/>
    <x:xf numFmtId="201" fontId="8" fillId="6" borderId="8" xfId="0" applyNumberFormat="1" applyFont="1" applyFill="1" applyBorder="1"/>
    <x:xf numFmtId="201" fontId="8" fillId="6" borderId="9" xfId="0" applyNumberFormat="1" applyFont="1" applyFill="1" applyBorder="1"/>
    <x:xf numFmtId="201" fontId="8" fillId="6" borderId="4" xfId="0" applyNumberFormat="1" applyFont="1" applyFill="1" applyBorder="1" applyAlignment="1">
      <x:alignment horizontal="center"/>
    </x:xf>
    <x:xf numFmtId="201" fontId="8" fillId="6" borderId="5" xfId="0" applyNumberFormat="1" applyFont="1" applyFill="1" applyBorder="1" applyAlignment="1">
      <x:alignment horizontal="center"/>
    </x:xf>
    <x:xf numFmtId="201" fontId="8" fillId="6" borderId="8" xfId="0" applyNumberFormat="1" applyFont="1" applyFill="1" applyBorder="1" applyAlignment="1">
      <x:alignment horizontal="center"/>
    </x:xf>
    <x:xf numFmtId="201" fontId="8" fillId="6" borderId="9" xfId="0" applyNumberFormat="1" applyFont="1" applyFill="1" applyBorder="1" applyAlignment="1">
      <x:alignment horizontal="center"/>
    </x:xf>
    <x:xf numFmtId="201" fontId="8" fillId="6" borderId="4" xfId="0" applyNumberFormat="1" applyFont="1" applyFill="1" applyBorder="1" applyAlignment="1">
      <x:alignment horizontal="center" vertical="center"/>
    </x:xf>
    <x:xf numFmtId="201" fontId="8" fillId="6" borderId="5" xfId="0" applyNumberFormat="1" applyFont="1" applyFill="1" applyBorder="1" applyAlignment="1">
      <x:alignment horizontal="center" vertical="center"/>
    </x:xf>
    <x:xf numFmtId="201" fontId="8" fillId="6" borderId="8" xfId="0" applyNumberFormat="1" applyFont="1" applyFill="1" applyBorder="1" applyAlignment="1">
      <x:alignment horizontal="center" vertical="center"/>
    </x:xf>
    <x:xf numFmtId="201" fontId="8" fillId="6" borderId="9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1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6abc793444068" /><Relationship Type="http://schemas.openxmlformats.org/officeDocument/2006/relationships/theme" Target="/xl/theme/theme1.xml" Id="R9b5d6f5c04d04c81" /><Relationship Type="http://schemas.openxmlformats.org/officeDocument/2006/relationships/sharedStrings" Target="/xl/sharedStrings.xml" Id="R777a101dc55e4be9" /><Relationship Type="http://schemas.openxmlformats.org/officeDocument/2006/relationships/worksheet" Target="/xl/worksheets/sheet1.xml" Id="Rb917096c0cc34d5c" /><Relationship Type="http://schemas.openxmlformats.org/officeDocument/2006/relationships/worksheet" Target="/xl/worksheets/sheet2.xml" Id="Rfbcb0273519646a1" /><Relationship Type="http://schemas.openxmlformats.org/officeDocument/2006/relationships/worksheet" Target="/xl/worksheets/sheet3.xml" Id="Re1882892c855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" hidden="0" customWidth="1"/>
    <x:col min="4" max="4" width="10" hidden="0" customWidth="1"/>
    <x:col min="5" max="5" width="22" hidden="0" customWidth="1"/>
    <x:col min="6" max="6" width="3" hidden="0" customWidth="1"/>
    <x:col min="7" max="7" width="10" hidden="0" customWidth="1"/>
    <x:col min="8" max="8" width="22" hidden="0" customWidth="1"/>
  </x:cols>
  <x:sheetData>
    <x:row r="1" ht="26" customHeight="1">
      <x:c r="A1" s="69" t="str">
        <x:v>PRIVACY TECHNOLOGY EVALUATION MATRIX</x:v>
      </x:c>
      <x:c r="B1" s="69"/>
      <x:c r="C1" s="69"/>
      <x:c r="D1" s="69"/>
      <x:c r="E1" s="69"/>
      <x:c r="F1" s="69"/>
      <x:c r="G1" s="69"/>
      <x:c r="H1" s="69"/>
      <x:c r="I1" s="1"/>
      <x:c r="J1" s="1"/>
      <x:c r="K1" s="1"/>
      <x:c r="L1" s="1"/>
      <x:c r="M1" s="1"/>
      <x:c r="N1" s="1"/>
      <x:c r="O1" s="1"/>
    </x:row>
    <x:row r="2" ht="26" customHeight="1">
      <x:c r="A2" s="69"/>
      <x:c r="B2" s="69"/>
      <x:c r="C2" s="69"/>
      <x:c r="D2" s="69"/>
      <x:c r="E2" s="69"/>
      <x:c r="F2" s="69"/>
      <x:c r="G2" s="69"/>
      <x:c r="H2" s="69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8" customHeight="1">
      <x:c r="A4" s="70" t="str">
        <x:v>Vendor-neutral portfolio sample with fictional products, evidence, scores, and requirements.</x:v>
      </x:c>
      <x:c r="B4" s="70"/>
      <x:c r="C4" s="70"/>
      <x:c r="D4" s="70"/>
      <x:c r="E4" s="70"/>
      <x:c r="F4" s="70"/>
      <x:c r="G4" s="70"/>
      <x:c r="H4" s="70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71" t="str">
        <x:v>CLEARMAP</x:v>
      </x:c>
      <x:c r="B6" s="71"/>
      <x:c r="C6" s="1"/>
      <x:c r="D6" s="71" t="str">
        <x:v>PRIVORA</x:v>
      </x:c>
      <x:c r="E6" s="71"/>
      <x:c r="F6" s="1"/>
      <x:c r="G6" s="71" t="str">
        <x:v>DATASENTRY</x:v>
      </x:c>
      <x:c r="H6" s="71"/>
      <x:c r="I6" s="1"/>
      <x:c r="J6" s="1"/>
      <x:c r="K6" s="1"/>
      <x:c r="L6" s="1"/>
      <x:c r="M6" s="1"/>
      <x:c r="N6" s="1"/>
      <x:c r="O6" s="1"/>
    </x:row>
    <x:row r="7" ht="28" customHeight="1">
      <x:c r="A7" s="86" t="n">
        <x:f>'Evaluation Matrix'!F16</x:f>
        <x:v>4.220000000000001</x:v>
      </x:c>
      <x:c r="B7" s="87"/>
      <x:c r="C7" s="1"/>
      <x:c r="D7" s="86" t="n">
        <x:f>'Evaluation Matrix'!I16</x:f>
        <x:v>4.300000000000001</x:v>
      </x:c>
      <x:c r="E7" s="87"/>
      <x:c r="F7" s="1"/>
      <x:c r="G7" s="86" t="n">
        <x:f>'Evaluation Matrix'!L16</x:f>
        <x:v>3.6399999999999997</x:v>
      </x:c>
      <x:c r="H7" s="87"/>
      <x:c r="I7" s="1"/>
      <x:c r="J7" s="1"/>
      <x:c r="K7" s="1"/>
      <x:c r="L7" s="1"/>
      <x:c r="M7" s="1"/>
      <x:c r="N7" s="1"/>
      <x:c r="O7" s="1"/>
    </x:row>
    <x:row r="8" ht="28" customHeight="1">
      <x:c r="A8" s="88"/>
      <x:c r="B8" s="89"/>
      <x:c r="C8" s="1"/>
      <x:c r="D8" s="88"/>
      <x:c r="E8" s="89"/>
      <x:c r="F8" s="1"/>
      <x:c r="G8" s="88"/>
      <x:c r="H8" s="89"/>
      <x:c r="I8" s="1"/>
      <x:c r="J8" s="1"/>
      <x:c r="K8" s="1"/>
      <x:c r="L8" s="1"/>
      <x:c r="M8" s="1"/>
      <x:c r="N8" s="1"/>
      <x:c r="O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90" t="str">
        <x:v>ILLUSTRATIVE FINDING</x:v>
      </x:c>
      <x:c r="B10" s="90"/>
      <x:c r="C10" s="90"/>
      <x:c r="D10" s="90"/>
      <x:c r="E10" s="90"/>
      <x:c r="F10" s="90"/>
      <x:c r="G10" s="90"/>
      <x:c r="H10" s="90"/>
      <x:c r="I10" s="1"/>
      <x:c r="J10" s="1"/>
      <x:c r="K10" s="1"/>
      <x:c r="L10" s="1"/>
      <x:c r="M10" s="1"/>
      <x:c r="N10" s="1"/>
      <x:c r="O10" s="1"/>
    </x:row>
    <x:row r="11" ht="28" customHeight="1">
      <x:c r="A11" s="94" t="str">
        <x:v>Privora ranks first in the weighted model because it scores highly in data mapping, request orchestration, and assessment workflow. ClearMap remains a strong balanced alternative, while DataSentry is best suited to a faster, narrower implementation. Final selection would still require validation of cost, security, legal terms, references, and implementation assumptions.</x:v>
      </x:c>
      <x:c r="B11" s="94"/>
      <x:c r="C11" s="94"/>
      <x:c r="D11" s="94"/>
      <x:c r="E11" s="94"/>
      <x:c r="F11" s="94"/>
      <x:c r="G11" s="94"/>
      <x:c r="H11" s="94"/>
      <x:c r="I11" s="1"/>
      <x:c r="J11" s="1"/>
      <x:c r="K11" s="1"/>
      <x:c r="L11" s="1"/>
      <x:c r="M11" s="1"/>
      <x:c r="N11" s="1"/>
      <x:c r="O11" s="1"/>
    </x:row>
    <x:row r="12" ht="28" customHeight="1">
      <x:c r="A12" s="94"/>
      <x:c r="B12" s="94"/>
      <x:c r="C12" s="94"/>
      <x:c r="D12" s="94"/>
      <x:c r="E12" s="94"/>
      <x:c r="F12" s="94"/>
      <x:c r="G12" s="94"/>
      <x:c r="H12" s="94"/>
      <x:c r="I12" s="1"/>
      <x:c r="J12" s="1"/>
      <x:c r="K12" s="1"/>
      <x:c r="L12" s="1"/>
      <x:c r="M12" s="1"/>
      <x:c r="N12" s="1"/>
      <x:c r="O12" s="1"/>
    </x:row>
    <x:row r="13" ht="28" customHeight="1">
      <x:c r="A13" s="94"/>
      <x:c r="B13" s="94"/>
      <x:c r="C13" s="94"/>
      <x:c r="D13" s="94"/>
      <x:c r="E13" s="94"/>
      <x:c r="F13" s="94"/>
      <x:c r="G13" s="94"/>
      <x:c r="H13" s="94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40" customHeight="1">
      <x:c r="A15" s="1"/>
      <x:c r="B15" s="97" t="str">
        <x:v>Portfolio attribution</x:v>
      </x:c>
      <x:c r="C15" s="97"/>
      <x:c r="D15" s="97" t="str">
        <x:v>Researched and completed by Hans Bragas as part of a privacy technology evaluation project.</x:v>
      </x:c>
      <x:c r="E15" s="97"/>
      <x:c r="F15" s="97"/>
      <x:c r="G15" s="97"/>
      <x:c r="H15" s="97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4" customHeight="1">
      <x:c r="A17" s="101" t="str">
        <x:v>All content in this workbook is illustrative. It does not reproduce confidential RFI responses, internal scoring, employee comments, or current claims about real products.</x:v>
      </x:c>
      <x:c r="B17" s="101"/>
      <x:c r="C17" s="101"/>
      <x:c r="D17" s="101"/>
      <x:c r="E17" s="101"/>
      <x:c r="F17" s="101"/>
      <x:c r="G17" s="101"/>
      <x:c r="H17" s="101"/>
      <x:c r="I17" s="1"/>
      <x:c r="J17" s="1"/>
      <x:c r="K17" s="1"/>
      <x:c r="L17" s="1"/>
      <x:c r="M17" s="1"/>
      <x:c r="N17" s="1"/>
      <x:c r="O17" s="1"/>
    </x:row>
    <x:row r="18" ht="24" customHeight="1">
      <x:c r="A18" s="101"/>
      <x:c r="B18" s="101"/>
      <x:c r="C18" s="101"/>
      <x:c r="D18" s="101"/>
      <x:c r="E18" s="101"/>
      <x:c r="F18" s="101"/>
      <x:c r="G18" s="101"/>
      <x:c r="H18" s="10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</x:sheetData>
  <x:mergeCells>
    <x:mergeCell ref="A1:H2"/>
    <x:mergeCell ref="A4:H4"/>
    <x:mergeCell ref="A6:B6"/>
    <x:mergeCell ref="A7:B8"/>
    <x:mergeCell ref="D6:E6"/>
    <x:mergeCell ref="D7:E8"/>
    <x:mergeCell ref="G6:H6"/>
    <x:mergeCell ref="G7:H8"/>
    <x:mergeCell ref="A10:H10"/>
    <x:mergeCell ref="A11:H13"/>
    <x:mergeCell ref="B15:C15"/>
    <x:mergeCell ref="D15:H15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34" hidden="0" customWidth="1"/>
    <x:col min="4" max="4" width="10" hidden="0" customWidth="1"/>
    <x:col min="5" max="5" width="9" hidden="0" customWidth="1"/>
    <x:col min="6" max="6" width="10" hidden="0" customWidth="1"/>
    <x:col min="7" max="7" width="43" hidden="0" customWidth="1"/>
    <x:col min="8" max="8" width="9" hidden="0" customWidth="1"/>
    <x:col min="9" max="9" width="10" hidden="0" customWidth="1"/>
    <x:col min="10" max="10" width="43" hidden="0" customWidth="1"/>
    <x:col min="11" max="11" width="9" hidden="0" customWidth="1"/>
    <x:col min="12" max="12" width="10" hidden="0" customWidth="1"/>
    <x:col min="13" max="13" width="43" hidden="0" customWidth="1"/>
  </x:cols>
  <x:sheetData>
    <x:row r="1" ht="25" customHeight="1">
      <x:c r="A1" s="4" t="str">
        <x:v>FICTIONAL PRIVACY TECHNOLOGY EVALUATION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1"/>
      <x:c r="O1" s="1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1"/>
      <x:c r="O2" s="1"/>
    </x:row>
    <x:row r="3" ht="28" customHeight="1">
      <x:c r="A3" s="6" t="str">
        <x:v>Illustrative evaluation only - vendors, capabilities, scores, evidence, requirements, and findings are fictional.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4" customHeight="1">
      <x:c r="A5" s="50" t="str">
        <x:v>REQUIREMENTS</x:v>
      </x:c>
      <x:c r="B5" s="51"/>
      <x:c r="C5" s="51"/>
      <x:c r="D5" s="51"/>
      <x:c r="E5" s="51" t="str">
        <x:v>CLEARMAP</x:v>
      </x:c>
      <x:c r="F5" s="51"/>
      <x:c r="G5" s="51"/>
      <x:c r="H5" s="51" t="str">
        <x:v>PRIVORA</x:v>
      </x:c>
      <x:c r="I5" s="51"/>
      <x:c r="J5" s="51"/>
      <x:c r="K5" s="51" t="str">
        <x:v>DATASENTRY</x:v>
      </x:c>
      <x:c r="L5" s="51"/>
      <x:c r="M5" s="52"/>
      <x:c r="N5" s="1"/>
      <x:c r="O5" s="1"/>
    </x:row>
    <x:row r="6" ht="34" customHeight="1">
      <x:c r="A6" s="53" t="str">
        <x:v>Category</x:v>
      </x:c>
      <x:c r="B6" s="13" t="str">
        <x:v>Criterion</x:v>
      </x:c>
      <x:c r="C6" s="13" t="str">
        <x:v>Requirement</x:v>
      </x:c>
      <x:c r="D6" s="13" t="str">
        <x:v>Weight</x:v>
      </x:c>
      <x:c r="E6" s="13" t="str">
        <x:v>Score</x:v>
      </x:c>
      <x:c r="F6" s="13" t="str">
        <x:v>Weighted</x:v>
      </x:c>
      <x:c r="G6" s="13" t="str">
        <x:v>Evidence Note</x:v>
      </x:c>
      <x:c r="H6" s="13" t="str">
        <x:v>Score</x:v>
      </x:c>
      <x:c r="I6" s="13" t="str">
        <x:v>Weighted</x:v>
      </x:c>
      <x:c r="J6" s="13" t="str">
        <x:v>Evidence Note</x:v>
      </x:c>
      <x:c r="K6" s="13" t="str">
        <x:v>Score</x:v>
      </x:c>
      <x:c r="L6" s="13" t="str">
        <x:v>Weighted</x:v>
      </x:c>
      <x:c r="M6" s="54" t="str">
        <x:v>Evidence Note</x:v>
      </x:c>
      <x:c r="N6" s="1"/>
      <x:c r="O6" s="1"/>
    </x:row>
    <x:row r="7" ht="64" customHeight="1">
      <x:c r="A7" s="55" t="str">
        <x:v>Data Discovery</x:v>
      </x:c>
      <x:c r="B7" s="41" t="str">
        <x:v>Coverage</x:v>
      </x:c>
      <x:c r="C7" s="41" t="str">
        <x:v>Discover structured and unstructured data across approved systems.</x:v>
      </x:c>
      <x:c r="D7" s="42" t="n">
        <x:v>0.18</x:v>
      </x:c>
      <x:c r="E7" s="41" t="n">
        <x:v>5</x:v>
      </x:c>
      <x:c r="F7" s="43" t="n">
        <x:f>D7*E7</x:f>
        <x:v>0.8999999999999999</x:v>
      </x:c>
      <x:c r="G7" s="41" t="str">
        <x:v>Automated discovery across cloud databases and selected SaaS connectors; legacy file shares require configuration.</x:v>
      </x:c>
      <x:c r="H7" s="41" t="n">
        <x:v>4</x:v>
      </x:c>
      <x:c r="I7" s="43" t="n">
        <x:f>D7*H7</x:f>
        <x:v>0.72</x:v>
      </x:c>
      <x:c r="J7" s="41" t="str">
        <x:v>Strong SaaS coverage; unstructured discovery is available through an additional module.</x:v>
      </x:c>
      <x:c r="K7" s="41" t="n">
        <x:v>3</x:v>
      </x:c>
      <x:c r="L7" s="43" t="n">
        <x:f>D7*K7</x:f>
        <x:v>0.54</x:v>
      </x:c>
      <x:c r="M7" s="56" t="str">
        <x:v>Covers core databases and endpoints; limited discovery for unsupported repositories.</x:v>
      </x:c>
      <x:c r="N7" s="1"/>
      <x:c r="O7" s="1"/>
    </x:row>
    <x:row r="8" ht="64" customHeight="1">
      <x:c r="A8" s="57" t="str">
        <x:v>Data Mapping</x:v>
      </x:c>
      <x:c r="B8" s="44" t="str">
        <x:v>Lineage</x:v>
      </x:c>
      <x:c r="C8" s="44" t="str">
        <x:v>Maintain inventory, ownership, purpose, and system-to-system data flow context.</x:v>
      </x:c>
      <x:c r="D8" s="45" t="n">
        <x:v>0.12</x:v>
      </x:c>
      <x:c r="E8" s="44" t="n">
        <x:v>4</x:v>
      </x:c>
      <x:c r="F8" s="46" t="n">
        <x:f>D8*E8</x:f>
        <x:v>0.48</x:v>
      </x:c>
      <x:c r="G8" s="44" t="str">
        <x:v>Provides visual inventory and relationship mapping with manual validation steps.</x:v>
      </x:c>
      <x:c r="H8" s="44" t="n">
        <x:v>5</x:v>
      </x:c>
      <x:c r="I8" s="46" t="n">
        <x:f>D8*H8</x:f>
        <x:v>0.6</x:v>
      </x:c>
      <x:c r="J8" s="44" t="str">
        <x:v>Dynamic maps connect systems, processing purposes, owners, and data subjects.</x:v>
      </x:c>
      <x:c r="K8" s="44" t="n">
        <x:v>3</x:v>
      </x:c>
      <x:c r="L8" s="46" t="n">
        <x:f>D8*K8</x:f>
        <x:v>0.36</x:v>
      </x:c>
      <x:c r="M8" s="58" t="str">
        <x:v>Inventory is available, but lineage requires substantial manual maintenance.</x:v>
      </x:c>
      <x:c r="N8" s="1"/>
      <x:c r="O8" s="1"/>
    </x:row>
    <x:row r="9" ht="64" customHeight="1">
      <x:c r="A9" s="57" t="str">
        <x:v>Privacy Requests</x:v>
      </x:c>
      <x:c r="B9" s="44" t="str">
        <x:v>Orchestration</x:v>
      </x:c>
      <x:c r="C9" s="44" t="str">
        <x:v>Route and track access, deletion, correction, and opt-out requests.</x:v>
      </x:c>
      <x:c r="D9" s="45" t="n">
        <x:v>0.16</x:v>
      </x:c>
      <x:c r="E9" s="44" t="n">
        <x:v>4</x:v>
      </x:c>
      <x:c r="F9" s="46" t="n">
        <x:f>D9*E9</x:f>
        <x:v>0.64</x:v>
      </x:c>
      <x:c r="G9" s="44" t="str">
        <x:v>Automates common request paths and creates exception tasks for unsupported systems.</x:v>
      </x:c>
      <x:c r="H9" s="44" t="n">
        <x:v>5</x:v>
      </x:c>
      <x:c r="I9" s="46" t="n">
        <x:f>D9*H9</x:f>
        <x:v>0.8</x:v>
      </x:c>
      <x:c r="J9" s="44" t="str">
        <x:v>Flexible workflow builder supports approvals, identity checks, and response packages.</x:v>
      </x:c>
      <x:c r="K9" s="44" t="n">
        <x:v>4</x:v>
      </x:c>
      <x:c r="L9" s="46" t="n">
        <x:f>D9*K9</x:f>
        <x:v>0.64</x:v>
      </x:c>
      <x:c r="M9" s="58" t="str">
        <x:v>Strong ticketing integration; complex exceptions require manual coordination.</x:v>
      </x:c>
      <x:c r="N9" s="1"/>
      <x:c r="O9" s="1"/>
    </x:row>
    <x:row r="10" ht="64" customHeight="1">
      <x:c r="A10" s="57" t="str">
        <x:v>Data Deletion</x:v>
      </x:c>
      <x:c r="B10" s="44" t="str">
        <x:v>Execution</x:v>
      </x:c>
      <x:c r="C10" s="44" t="str">
        <x:v>Coordinate verified deletion across connected and non-connected systems.</x:v>
      </x:c>
      <x:c r="D10" s="45" t="n">
        <x:v>0.14</x:v>
      </x:c>
      <x:c r="E10" s="44" t="n">
        <x:v>5</x:v>
      </x:c>
      <x:c r="F10" s="46" t="n">
        <x:f>D10*E10</x:f>
        <x:v>0.7000000000000001</x:v>
      </x:c>
      <x:c r="G10" s="44" t="str">
        <x:v>Executes supported deletion actions and records exceptions in an audit trail.</x:v>
      </x:c>
      <x:c r="H10" s="44" t="n">
        <x:v>4</x:v>
      </x:c>
      <x:c r="I10" s="46" t="n">
        <x:f>D10*H10</x:f>
        <x:v>0.56</x:v>
      </x:c>
      <x:c r="J10" s="44" t="str">
        <x:v>Deletion flows are configurable; several connectors require custom API work.</x:v>
      </x:c>
      <x:c r="K10" s="44" t="n">
        <x:v>3</x:v>
      </x:c>
      <x:c r="L10" s="46" t="n">
        <x:f>D10*K10</x:f>
        <x:v>0.42000000000000004</x:v>
      </x:c>
      <x:c r="M10" s="58" t="str">
        <x:v>Deletion is primarily task-based outside a limited set of native integrations.</x:v>
      </x:c>
      <x:c r="N10" s="1"/>
      <x:c r="O10" s="1"/>
    </x:row>
    <x:row r="11" ht="64" customHeight="1">
      <x:c r="A11" s="57" t="str">
        <x:v>Consent</x:v>
      </x:c>
      <x:c r="B11" s="44" t="str">
        <x:v>Preference Management</x:v>
      </x:c>
      <x:c r="C11" s="44" t="str">
        <x:v>Capture, synchronize, and evidence consent and preference changes.</x:v>
      </x:c>
      <x:c r="D11" s="45" t="n">
        <x:v>0.1</x:v>
      </x:c>
      <x:c r="E11" s="44" t="n">
        <x:v>3</x:v>
      </x:c>
      <x:c r="F11" s="46" t="n">
        <x:f>D11*E11</x:f>
        <x:v>0.30000000000000004</x:v>
      </x:c>
      <x:c r="G11" s="44" t="str">
        <x:v>Basic preference center available; regional rules need configuration.</x:v>
      </x:c>
      <x:c r="H11" s="44" t="n">
        <x:v>4</x:v>
      </x:c>
      <x:c r="I11" s="46" t="n">
        <x:f>D11*H11</x:f>
        <x:v>0.4</x:v>
      </x:c>
      <x:c r="J11" s="44" t="str">
        <x:v>Central preference service with APIs and configurable regional experiences.</x:v>
      </x:c>
      <x:c r="K11" s="44" t="n">
        <x:v>5</x:v>
      </x:c>
      <x:c r="L11" s="46" t="n">
        <x:f>D11*K11</x:f>
        <x:v>0.5</x:v>
      </x:c>
      <x:c r="M11" s="58" t="str">
        <x:v>Strong consent module and event history; broader platform is less mature.</x:v>
      </x:c>
      <x:c r="N11" s="1"/>
      <x:c r="O11" s="1"/>
    </x:row>
    <x:row r="12" ht="64" customHeight="1">
      <x:c r="A12" s="57" t="str">
        <x:v>Governance</x:v>
      </x:c>
      <x:c r="B12" s="44" t="str">
        <x:v>Assessment Workflow</x:v>
      </x:c>
      <x:c r="C12" s="44" t="str">
        <x:v>Support privacy assessments, risk reviews, approvals, and remediation tracking.</x:v>
      </x:c>
      <x:c r="D12" s="45" t="n">
        <x:v>0.1</x:v>
      </x:c>
      <x:c r="E12" s="44" t="n">
        <x:v>4</x:v>
      </x:c>
      <x:c r="F12" s="46" t="n">
        <x:f>D12*E12</x:f>
        <x:v>0.4</x:v>
      </x:c>
      <x:c r="G12" s="44" t="str">
        <x:v>Includes assessment templates and action tracking with configurable owners.</x:v>
      </x:c>
      <x:c r="H12" s="44" t="n">
        <x:v>5</x:v>
      </x:c>
      <x:c r="I12" s="46" t="n">
        <x:f>D12*H12</x:f>
        <x:v>0.5</x:v>
      </x:c>
      <x:c r="J12" s="44" t="str">
        <x:v>Advanced assessment workflows, reusable controls, and linked remediation plans.</x:v>
      </x:c>
      <x:c r="K12" s="44" t="n">
        <x:v>3</x:v>
      </x:c>
      <x:c r="L12" s="46" t="n">
        <x:f>D12*K12</x:f>
        <x:v>0.30000000000000004</x:v>
      </x:c>
      <x:c r="M12" s="58" t="str">
        <x:v>Provides questionnaires and tasks but limited control reuse.</x:v>
      </x:c>
      <x:c r="N12" s="1"/>
      <x:c r="O12" s="1"/>
    </x:row>
    <x:row r="13" ht="64" customHeight="1">
      <x:c r="A13" s="57" t="str">
        <x:v>Security &amp; Assurance</x:v>
      </x:c>
      <x:c r="B13" s="44" t="str">
        <x:v>Controls</x:v>
      </x:c>
      <x:c r="C13" s="44" t="str">
        <x:v>Provide role-based access, audit logs, deployment options, and review evidence.</x:v>
      </x:c>
      <x:c r="D13" s="45" t="n">
        <x:v>0.12</x:v>
      </x:c>
      <x:c r="E13" s="44" t="n">
        <x:v>4</x:v>
      </x:c>
      <x:c r="F13" s="46" t="n">
        <x:f>D13*E13</x:f>
        <x:v>0.48</x:v>
      </x:c>
      <x:c r="G13" s="44" t="str">
        <x:v>Granular roles, exportable audit events, and standard enterprise assurance materials.</x:v>
      </x:c>
      <x:c r="H13" s="44" t="n">
        <x:v>4</x:v>
      </x:c>
      <x:c r="I13" s="46" t="n">
        <x:f>D13*H13</x:f>
        <x:v>0.48</x:v>
      </x:c>
      <x:c r="J13" s="44" t="str">
        <x:v>Strong controls and review documentation; some logs require premium retention.</x:v>
      </x:c>
      <x:c r="K13" s="44" t="n">
        <x:v>4</x:v>
      </x:c>
      <x:c r="L13" s="46" t="n">
        <x:f>D13*K13</x:f>
        <x:v>0.48</x:v>
      </x:c>
      <x:c r="M13" s="58" t="str">
        <x:v>Detailed event history and flexible access groups; deployment choices are limited.</x:v>
      </x:c>
      <x:c r="N13" s="1"/>
      <x:c r="O13" s="1"/>
    </x:row>
    <x:row r="14" ht="64" customHeight="1">
      <x:c r="A14" s="59" t="str">
        <x:v>Implementation</x:v>
      </x:c>
      <x:c r="B14" s="47" t="str">
        <x:v>Operational Fit</x:v>
      </x:c>
      <x:c r="C14" s="47" t="str">
        <x:v>Meet integration, administration, support, timeline, and change-management needs.</x:v>
      </x:c>
      <x:c r="D14" s="48" t="n">
        <x:v>0.08</x:v>
      </x:c>
      <x:c r="E14" s="47" t="n">
        <x:v>4</x:v>
      </x:c>
      <x:c r="F14" s="49" t="n">
        <x:f>D14*E14</x:f>
        <x:v>0.32</x:v>
      </x:c>
      <x:c r="G14" s="47" t="str">
        <x:v>Balanced implementation plan and clear administrator training path.</x:v>
      </x:c>
      <x:c r="H14" s="47" t="n">
        <x:v>3</x:v>
      </x:c>
      <x:c r="I14" s="49" t="n">
        <x:f>D14*H14</x:f>
        <x:v>0.24</x:v>
      </x:c>
      <x:c r="J14" s="47" t="str">
        <x:v>Most configurable option, but requires greater implementation effort.</x:v>
      </x:c>
      <x:c r="K14" s="47" t="n">
        <x:v>5</x:v>
      </x:c>
      <x:c r="L14" s="49" t="n">
        <x:f>D14*K14</x:f>
        <x:v>0.4</x:v>
      </x:c>
      <x:c r="M14" s="60" t="str">
        <x:v>Fastest deployment for priority use cases and lowest ongoing administration.</x:v>
      </x:c>
      <x:c r="N14" s="1"/>
      <x:c r="O14" s="1"/>
    </x:row>
    <x:row r="15">
      <x:c r="A15" s="61"/>
      <x:c r="B15" s="1"/>
      <x:c r="C15" s="1"/>
      <x:c r="D15" s="16"/>
      <x:c r="E15" s="1"/>
      <x:c r="F15" s="18"/>
      <x:c r="G15" s="1"/>
      <x:c r="H15" s="1"/>
      <x:c r="I15" s="18"/>
      <x:c r="J15" s="1"/>
      <x:c r="K15" s="1"/>
      <x:c r="L15" s="18"/>
      <x:c r="M15" s="62"/>
      <x:c r="N15" s="1"/>
      <x:c r="O15" s="1"/>
    </x:row>
    <x:row r="16" ht="30" customHeight="1">
      <x:c r="A16" s="63" t="str">
        <x:v>WEIGHTED TOTAL (OUT OF 5)</x:v>
      </x:c>
      <x:c r="B16" s="64"/>
      <x:c r="C16" s="64"/>
      <x:c r="D16" s="65" t="n">
        <x:f>SUM(D7:D14)</x:f>
        <x:v>0.9999999999999999</x:v>
      </x:c>
      <x:c r="E16" s="64" t="str">
        <x:v>ClearMap</x:v>
      </x:c>
      <x:c r="F16" s="66" t="n">
        <x:f>SUM(F7:F14)</x:f>
        <x:v>4.220000000000001</x:v>
      </x:c>
      <x:c r="G16" s="64"/>
      <x:c r="H16" s="64" t="str">
        <x:v>Privora</x:v>
      </x:c>
      <x:c r="I16" s="66" t="n">
        <x:f>SUM(I7:I14)</x:f>
        <x:v>4.300000000000001</x:v>
      </x:c>
      <x:c r="J16" s="64"/>
      <x:c r="K16" s="64" t="str">
        <x:v>DataSentry</x:v>
      </x:c>
      <x:c r="L16" s="66" t="n">
        <x:f>SUM(L7:L14)</x:f>
        <x:v>3.6399999999999997</x:v>
      </x:c>
      <x:c r="M16" s="67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</x:sheetData>
  <x:mergeCells>
    <x:mergeCell ref="A1:M2"/>
    <x:mergeCell ref="A3:M3"/>
    <x:mergeCell ref="A5:D5"/>
    <x:mergeCell ref="E5:G5"/>
    <x:mergeCell ref="H5:J5"/>
    <x:mergeCell ref="K5:M5"/>
    <x:mergeCell ref="A16:C16"/>
  </x:mergeCells>
  <x:conditionalFormatting sqref="E7:E14">
    <x:cfRule type="colorScale" priority="1">
      <x:colorScale>
        <x:cfvo type="min"/>
        <x:cfvo type="percentile" val="50"/>
        <x:cfvo type="max"/>
        <x:color rgb="FFFDE8E7"/>
        <x:color rgb="FFFFF2CC"/>
        <x:color rgb="FFE5F3E8"/>
      </x:colorScale>
    </x:cfRule>
  </x:conditionalFormatting>
  <x:conditionalFormatting sqref="H7:H14">
    <x:cfRule type="colorScale" priority="2">
      <x:colorScale>
        <x:cfvo type="min"/>
        <x:cfvo type="percentile" val="50"/>
        <x:cfvo type="max"/>
        <x:color rgb="FFFDE8E7"/>
        <x:color rgb="FFFFF2CC"/>
        <x:color rgb="FFE5F3E8"/>
      </x:colorScale>
    </x:cfRule>
  </x:conditionalFormatting>
  <x:conditionalFormatting sqref="K7:K14">
    <x:cfRule type="colorScale" priority="3">
      <x:colorScale>
        <x:cfvo type="min"/>
        <x:cfvo type="percentile" val="50"/>
        <x:cfvo type="max"/>
        <x:color rgb="FFFDE8E7"/>
        <x:color rgb="FFFFF2CC"/>
        <x:color rgb="FFE5F3E8"/>
      </x:colorScale>
    </x:cfRule>
  </x:conditionalFormatting>
  <x:dataValidations count="3">
    <x:dataValidation type="whole" operator="between" sqref="E7:E14">
      <x:formula1>1</x:formula1>
      <x:formula2>5</x:formula2>
    </x:dataValidation>
    <x:dataValidation type="whole" operator="between" sqref="H7:H14">
      <x:formula1>1</x:formula1>
      <x:formula2>5</x:formula2>
    </x:dataValidation>
    <x:dataValidation type="whole" operator="between" sqref="K7:K14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5" customHeight="1">
      <x:c r="A1" s="4" t="str">
        <x:v>SCORING GUIDE &amp; REVIEW CONTROLS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4"/>
      <x:c r="B2" s="4"/>
      <x:c r="C2" s="4"/>
      <x:c r="D2" s="4"/>
      <x:c r="E2" s="4"/>
      <x:c r="F2" s="4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8" customHeight="1">
      <x:c r="A4" s="102" t="str">
        <x:v>Score</x:v>
      </x:c>
      <x:c r="B4" s="102" t="str">
        <x:v>Definition</x:v>
      </x:c>
      <x:c r="C4" s="1"/>
      <x:c r="D4" s="109" t="str">
        <x:v>REVIEW CONTROLS</x:v>
      </x:c>
      <x:c r="E4" s="109"/>
      <x:c r="F4" s="109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106" t="n">
        <x:v>1</x:v>
      </x:c>
      <x:c r="B5" s="106" t="str">
        <x:v>Does not meet the requirement</x:v>
      </x:c>
      <x:c r="C5" s="1"/>
      <x:c r="D5" s="110" t="str">
        <x:v>1. Record the evidence supporting every score.
2. Keep weights visible and confirm they total 100%.
3. Separate mandatory requirements from preferences.
4. Validate security, privacy, legal, cost, and implementation assumptions with responsible reviewers.
5. Document unresolved gaps before making a recommendation.</x:v>
      </x:c>
      <x:c r="E5" s="110"/>
      <x:c r="F5" s="110"/>
      <x:c r="G5" s="1"/>
      <x:c r="H5" s="1"/>
      <x:c r="I5" s="1"/>
      <x:c r="J5" s="1"/>
      <x:c r="K5" s="1"/>
      <x:c r="L5" s="1"/>
      <x:c r="M5" s="1"/>
      <x:c r="N5" s="1"/>
      <x:c r="O5" s="1"/>
    </x:row>
    <x:row r="6" ht="32" customHeight="1">
      <x:c r="A6" s="107" t="n">
        <x:v>2</x:v>
      </x:c>
      <x:c r="B6" s="107" t="str">
        <x:v>Partially meets; material gaps or manual workarounds</x:v>
      </x:c>
      <x:c r="C6" s="1"/>
      <x:c r="D6" s="110"/>
      <x:c r="E6" s="110"/>
      <x:c r="F6" s="110"/>
      <x:c r="G6" s="1"/>
      <x:c r="H6" s="1"/>
      <x:c r="I6" s="1"/>
      <x:c r="J6" s="1"/>
      <x:c r="K6" s="1"/>
      <x:c r="L6" s="1"/>
      <x:c r="M6" s="1"/>
      <x:c r="N6" s="1"/>
      <x:c r="O6" s="1"/>
    </x:row>
    <x:row r="7" ht="32" customHeight="1">
      <x:c r="A7" s="107" t="n">
        <x:v>3</x:v>
      </x:c>
      <x:c r="B7" s="107" t="str">
        <x:v>Meets the basic requirement</x:v>
      </x:c>
      <x:c r="C7" s="1"/>
      <x:c r="D7" s="110"/>
      <x:c r="E7" s="110"/>
      <x:c r="F7" s="110"/>
      <x:c r="G7" s="1"/>
      <x:c r="H7" s="1"/>
      <x:c r="I7" s="1"/>
      <x:c r="J7" s="1"/>
      <x:c r="K7" s="1"/>
      <x:c r="L7" s="1"/>
      <x:c r="M7" s="1"/>
      <x:c r="N7" s="1"/>
      <x:c r="O7" s="1"/>
    </x:row>
    <x:row r="8" ht="32" customHeight="1">
      <x:c r="A8" s="107" t="n">
        <x:v>4</x:v>
      </x:c>
      <x:c r="B8" s="107" t="str">
        <x:v>Meets the requirement with useful additional capability</x:v>
      </x:c>
      <x:c r="C8" s="1"/>
      <x:c r="D8" s="110"/>
      <x:c r="E8" s="110"/>
      <x:c r="F8" s="110"/>
      <x:c r="G8" s="1"/>
      <x:c r="H8" s="1"/>
      <x:c r="I8" s="1"/>
      <x:c r="J8" s="1"/>
      <x:c r="K8" s="1"/>
      <x:c r="L8" s="1"/>
      <x:c r="M8" s="1"/>
      <x:c r="N8" s="1"/>
      <x:c r="O8" s="1"/>
    </x:row>
    <x:row r="9" ht="32" customHeight="1">
      <x:c r="A9" s="108" t="n">
        <x:v>5</x:v>
      </x:c>
      <x:c r="B9" s="108" t="str">
        <x:v>Strongly meets the requirement with clear supporting evidence</x:v>
      </x:c>
      <x:c r="C9" s="1"/>
      <x:c r="D9" s="110"/>
      <x:c r="E9" s="110"/>
      <x:c r="F9" s="110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8" customHeight="1">
      <x:c r="A11" s="101" t="str">
        <x:v>This is a fictional portfolio artifact designed to demonstrate research organization, comparative analysis, documented evidence, and decision support.</x:v>
      </x:c>
      <x:c r="B11" s="101"/>
      <x:c r="C11" s="101"/>
      <x:c r="D11" s="101"/>
      <x:c r="E11" s="101"/>
      <x:c r="F11" s="10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8" customHeight="1">
      <x:c r="A12" s="101"/>
      <x:c r="B12" s="101"/>
      <x:c r="C12" s="101"/>
      <x:c r="D12" s="101"/>
      <x:c r="E12" s="101"/>
      <x:c r="F12" s="10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</x:sheetData>
  <x:mergeCells>
    <x:mergeCell ref="A1:F2"/>
    <x:mergeCell ref="D4:F4"/>
    <x:mergeCell ref="D5:F9"/>
    <x:mergeCell ref="A11:F12"/>
  </x:mergeCells>
  <x:pageMargins left="0.7" right="0.7" top="0.75" bottom="0.75" header="0.3" footer="0.3"/>
</x:worksheet>
</file>