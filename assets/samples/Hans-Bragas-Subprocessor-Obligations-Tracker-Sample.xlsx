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c537dbd1e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Preview" sheetId="1" r:id="R17de9ad20f1a4293"/>
    <x:sheet xmlns:r="http://schemas.openxmlformats.org/officeDocument/2006/relationships" name="Obligations Tracker" sheetId="2" r:id="R63c9d0eded7b457b"/>
    <x:sheet xmlns:r="http://schemas.openxmlformats.org/officeDocument/2006/relationships" name="Rules &amp; Legend" sheetId="3" r:id="Rdde81f140ce94e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mm d, yyyy"/>
    <x:numFmt numFmtId="202" formatCode="0 &quot;days&quot;"/>
  </x:numFmts>
  <x:fonts count="16">
    <x:font>
      <x:sz val="11"/>
      <x:name val="Carlito"/>
    </x:font>
    <x:font>
      <x:sz val="11"/>
      <x:name val="Aptos"/>
    </x:font>
    <x:font>
      <x:b/>
      <x:sz val="19"/>
      <x:color rgb="FFFFFFFF"/>
      <x:name val="Aptos"/>
    </x:font>
    <x:font>
      <x:i/>
      <x:sz val="10"/>
      <x:color rgb="FF657384"/>
      <x:name val="Aptos"/>
    </x:font>
    <x:font>
      <x:b/>
      <x:sz val="10"/>
      <x:color rgb="FFFFFFFF"/>
      <x:name val="Aptos"/>
    </x:font>
    <x:font>
      <x:b/>
      <x:sz val="22"/>
      <x:color rgb="FF172B4D"/>
      <x:name val="Aptos"/>
    </x:font>
    <x:font>
      <x:b/>
      <x:sz val="11"/>
      <x:color rgb="FFFFFFFF"/>
      <x:name val="Aptos"/>
    </x:font>
    <x:font>
      <x:sz val="10"/>
      <x:color rgb="FF203040"/>
      <x:name val="Aptos"/>
    </x:font>
    <x:font>
      <x:b/>
      <x:sz val="10"/>
      <x:color rgb="FF172B4D"/>
      <x:name val="Aptos"/>
    </x:font>
    <x:font>
      <x:i/>
      <x:sz val="9"/>
      <x:color rgb="FF6D5521"/>
      <x:name val="Aptos"/>
    </x:font>
    <x:font>
      <x:b/>
      <x:sz val="18"/>
      <x:color rgb="FFFFFFFF"/>
      <x:name val="Aptos"/>
    </x:font>
    <x:font>
      <x:i/>
      <x:sz val="9"/>
      <x:color rgb="FF5B3F8C"/>
      <x:name val="Aptos"/>
    </x:font>
    <x:font>
      <x:b/>
      <x:sz val="9"/>
      <x:color rgb="FFFFFFFF"/>
      <x:name val="Aptos"/>
    </x:font>
    <x:font>
      <x:sz val="8"/>
      <x:color rgb="FF203040"/>
      <x:name val="Aptos"/>
    </x:font>
    <x:font>
      <x:b/>
      <x:sz val="17"/>
      <x:color rgb="FFFFFFFF"/>
      <x:name val="Aptos"/>
    </x:font>
    <x:font>
      <x:b/>
      <x:sz val="10"/>
      <x:color rgb="FF5B3F8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EF3F8"/>
      </x:patternFill>
    </x:fill>
    <x:fill>
      <x:patternFill patternType="solid">
        <x:fgColor rgb="FF5B3F8C"/>
      </x:patternFill>
    </x:fill>
    <x:fill>
      <x:patternFill patternType="solid">
        <x:fgColor rgb="FFF2EEF8"/>
      </x:patternFill>
    </x:fill>
    <x:fill>
      <x:patternFill patternType="solid">
        <x:fgColor rgb="FFD5A848"/>
      </x:patternFill>
    </x:fill>
    <x:fill>
      <x:patternFill patternType="solid">
        <x:fgColor rgb="FFFFF7E3"/>
      </x:patternFill>
    </x:fill>
  </x:fills>
  <x:borders count="10">
    <x:border/>
    <x:border>
      <x:left style="thin">
        <x:color rgb="FFD8E0E8"/>
      </x:left>
      <x:top style="thin">
        <x:color rgb="FFD8E0E8"/>
      </x:top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/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0" fontId="13" fillId="0" borderId="3" xfId="0" applyNumberFormat="1" applyFont="1" applyFill="1" applyBorder="1"/>
    <x:xf numFmtId="0" fontId="13" fillId="0" borderId="6" xfId="0" applyNumberFormat="1" applyFont="1" applyFill="1" applyBorder="1"/>
    <x:xf numFmtId="0" fontId="13" fillId="0" borderId="7" xfId="0" applyNumberFormat="1" applyFont="1" applyFill="1" applyBorder="1"/>
    <x:xf numFmtId="0" fontId="13" fillId="0" borderId="8" xfId="0" applyNumberFormat="1" applyFont="1" applyFill="1" applyBorder="1"/>
    <x:xf numFmtId="0" fontId="13" fillId="0" borderId="2" xfId="0" applyNumberFormat="1" applyFont="1" applyFill="1" applyBorder="1"/>
    <x:xf numFmtId="0" fontId="13" fillId="0" borderId="9" xfId="0" applyNumberFormat="1" applyFont="1" applyFill="1" applyBorder="1"/>
    <x:xf numFmtId="0" fontId="13" fillId="0" borderId="1" xfId="0" applyNumberFormat="1" applyFont="1" applyFill="1" applyBorder="1"/>
    <x:xf numFmtId="0" fontId="13" fillId="0" borderId="4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3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wrapText="1"/>
    </x:xf>
    <x:xf numFmtId="0" fontId="13" fillId="0" borderId="8" xfId="0" applyNumberFormat="1" applyFont="1" applyFill="1" applyBorder="1" applyAlignment="1">
      <x:alignment wrapText="1"/>
    </x:xf>
    <x:xf numFmtId="0" fontId="13" fillId="0" borderId="2" xfId="0" applyNumberFormat="1" applyFont="1" applyFill="1" applyBorder="1" applyAlignment="1">
      <x:alignment wrapText="1"/>
    </x:xf>
    <x:xf numFmtId="0" fontId="13" fillId="0" borderId="9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3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vertical="top" wrapText="1"/>
    </x:xf>
    <x:xf numFmtId="0" fontId="13" fillId="0" borderId="8" xfId="0" applyNumberFormat="1" applyFont="1" applyFill="1" applyBorder="1" applyAlignment="1">
      <x:alignment vertical="top" wrapText="1"/>
    </x:xf>
    <x:xf numFmtId="0" fontId="13" fillId="0" borderId="2" xfId="0" applyNumberFormat="1" applyFont="1" applyFill="1" applyBorder="1" applyAlignment="1">
      <x:alignment vertical="top" wrapText="1"/>
    </x:xf>
    <x:xf numFmtId="0" fontId="13" fillId="0" borderId="9" xfId="0" applyNumberFormat="1" applyFont="1" applyFill="1" applyBorder="1" applyAlignment="1">
      <x:alignment vertical="top" wrapText="1"/>
    </x:xf>
    <x:xf numFmtId="0" fontId="13" fillId="0" borderId="1" xfId="0" applyNumberFormat="1" applyFont="1" applyFill="1" applyBorder="1" applyAlignment="1">
      <x:alignment vertical="top" wrapText="1"/>
    </x:xf>
    <x:xf numFmtId="200" fontId="13" fillId="0" borderId="5" xfId="0" applyNumberFormat="1" applyFont="1" applyFill="1" applyBorder="1" applyAlignment="1">
      <x:alignment vertical="top" wrapText="1"/>
    </x:xf>
    <x:xf numFmtId="200" fontId="13" fillId="0" borderId="7" xfId="0" applyNumberFormat="1" applyFont="1" applyFill="1" applyBorder="1" applyAlignment="1">
      <x:alignment vertical="top" wrapText="1"/>
    </x:xf>
    <x:xf numFmtId="200" fontId="13" fillId="0" borderId="9" xfId="0" applyNumberFormat="1" applyFont="1" applyFill="1" applyBorder="1" applyAlignment="1">
      <x:alignment vertical="top" wrapText="1"/>
    </x:xf>
    <x:xf numFmtId="201" fontId="13" fillId="0" borderId="5" xfId="0" applyNumberFormat="1" applyFont="1" applyFill="1" applyBorder="1" applyAlignment="1">
      <x:alignment vertical="top" wrapText="1"/>
    </x:xf>
    <x:xf numFmtId="201" fontId="13" fillId="0" borderId="7" xfId="0" applyNumberFormat="1" applyFont="1" applyFill="1" applyBorder="1" applyAlignment="1">
      <x:alignment vertical="top" wrapText="1"/>
    </x:xf>
    <x:xf numFmtId="201" fontId="13" fillId="0" borderId="9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/>
    <x:xf numFmtId="0" fontId="7" fillId="0" borderId="3" xfId="0" applyNumberFormat="1" applyFont="1" applyFill="1" applyBorder="1"/>
    <x:xf numFmtId="0" fontId="7" fillId="0" borderId="6" xfId="0" applyNumberFormat="1" applyFont="1" applyFill="1" applyBorder="1"/>
    <x:xf numFmtId="0" fontId="7" fillId="0" borderId="8" xfId="0" applyNumberFormat="1" applyFont="1" applyFill="1" applyBorder="1"/>
    <x:xf numFmtId="0" fontId="7" fillId="0" borderId="2" xfId="0" applyNumberFormat="1" applyFont="1" applyFill="1" applyBorder="1"/>
    <x:xf numFmtId="0" fontId="7" fillId="0" borderId="1" xfId="0" applyNumberFormat="1" applyFont="1" applyFill="1" applyBorder="1"/>
    <x:xf numFmtId="0" fontId="7" fillId="5" borderId="4" xfId="0" applyNumberFormat="1" applyFont="1" applyFill="1" applyBorder="1"/>
    <x:xf numFmtId="0" fontId="7" fillId="5" borderId="6" xfId="0" applyNumberFormat="1" applyFont="1" applyFill="1" applyBorder="1"/>
    <x:xf numFmtId="0" fontId="7" fillId="5" borderId="2" xfId="0" applyNumberFormat="1" applyFont="1" applyFill="1" applyBorder="1"/>
    <x:xf numFmtId="0" fontId="15" fillId="5" borderId="4" xfId="0" applyNumberFormat="1" applyFont="1" applyFill="1" applyBorder="1"/>
    <x:xf numFmtId="0" fontId="15" fillId="5" borderId="6" xfId="0" applyNumberFormat="1" applyFont="1" applyFill="1" applyBorder="1"/>
    <x:xf numFmtId="0" fontId="15" fillId="5" borderId="2" xfId="0" applyNumberFormat="1" applyFont="1" applyFill="1" applyBorder="1"/>
    <x:xf numFmtId="202" fontId="7" fillId="0" borderId="3" xfId="0" applyNumberFormat="1" applyFont="1" applyFill="1" applyBorder="1"/>
    <x:xf numFmtId="202" fontId="7" fillId="0" borderId="8" xfId="0" applyNumberFormat="1" applyFont="1" applyFill="1" applyBorder="1"/>
    <x:xf numFmtId="0" fontId="6" fillId="4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6D5521"/>
      </x:font>
      <x:fill>
        <x:patternFill patternType="solid">
          <x:bgColor rgb="FFFFF2CC"/>
        </x:patternFill>
      </x:fill>
    </x:dxf>
    <x:dxf>
      <x:font>
        <x:b/>
        <x:color rgb="FF25633A"/>
      </x:font>
      <x:fill>
        <x:patternFill patternType="solid">
          <x:bgColor rgb="FFE5F3E8"/>
        </x:patternFill>
      </x:fill>
    </x:dxf>
    <x:dxf>
      <x:font>
        <x:b/>
        <x:color rgb="FF9E2A2B"/>
      </x:font>
      <x:fill>
        <x:patternFill patternType="solid">
          <x:bgColor rgb="FFFDE8E7"/>
        </x:patternFill>
      </x:fill>
    </x:dxf>
    <x:dxf>
      <x:font>
        <x:b/>
        <x:color rgb="FF6D5521"/>
      </x:font>
      <x:fill>
        <x:patternFill patternType="solid">
          <x:bgColor rgb="FFFFF2CC"/>
        </x:patternFill>
      </x:fill>
    </x:dxf>
    <x:dxf>
      <x:font>
        <x:b/>
        <x:color rgb="FF25633A"/>
      </x:font>
      <x:fill>
        <x:patternFill patternType="solid">
          <x:bgColor rgb="FFE5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5a5b55933480c" /><Relationship Type="http://schemas.openxmlformats.org/officeDocument/2006/relationships/theme" Target="/xl/theme/theme1.xml" Id="Rdf10fb00847747be" /><Relationship Type="http://schemas.openxmlformats.org/officeDocument/2006/relationships/sharedStrings" Target="/xl/sharedStrings.xml" Id="Ra63e5455f4fe4644" /><Relationship Type="http://schemas.openxmlformats.org/officeDocument/2006/relationships/worksheet" Target="/xl/worksheets/sheet1.xml" Id="R17de9ad20f1a4293" /><Relationship Type="http://schemas.openxmlformats.org/officeDocument/2006/relationships/worksheet" Target="/xl/worksheets/sheet2.xml" Id="R63c9d0eded7b457b" /><Relationship Type="http://schemas.openxmlformats.org/officeDocument/2006/relationships/worksheet" Target="/xl/worksheets/sheet3.xml" Id="Rdde81f140ce94e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" hidden="0" customWidth="1"/>
    <x:col min="4" max="4" width="10" hidden="0" customWidth="1"/>
    <x:col min="5" max="5" width="22" hidden="0" customWidth="1"/>
    <x:col min="6" max="6" width="3" hidden="0" customWidth="1"/>
    <x:col min="7" max="7" width="10" hidden="0" customWidth="1"/>
    <x:col min="8" max="8" width="22" hidden="0" customWidth="1"/>
  </x:cols>
  <x:sheetData>
    <x:row r="1" ht="26" customHeight="1">
      <x:c r="A1" s="4" t="str">
        <x:v>SUBPROCESSOR CONTRACTUAL OBLIGATIONS TRACKER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8" customHeight="1">
      <x:c r="A4" s="7" t="str">
        <x:v>Illustrative portfolio sample - all counterparties, clauses, dates, and requirements are fictional.</x:v>
      </x:c>
      <x:c r="B4" s="7"/>
      <x:c r="C4" s="7"/>
      <x:c r="D4" s="7"/>
      <x:c r="E4" s="7"/>
      <x:c r="F4" s="7"/>
      <x:c r="G4" s="7"/>
      <x:c r="H4" s="7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1" t="str">
        <x:v>AGREEMENTS TRACKED</x:v>
      </x:c>
      <x:c r="B6" s="11"/>
      <x:c r="C6" s="1"/>
      <x:c r="D6" s="11" t="str">
        <x:v>NON-STANDARD</x:v>
      </x:c>
      <x:c r="E6" s="11"/>
      <x:c r="F6" s="1"/>
      <x:c r="G6" s="11" t="str">
        <x:v>PRIOR CONSENT</x:v>
      </x:c>
      <x:c r="H6" s="11"/>
      <x:c r="I6" s="1"/>
      <x:c r="J6" s="1"/>
      <x:c r="K6" s="1"/>
      <x:c r="L6" s="1"/>
      <x:c r="M6" s="1"/>
      <x:c r="N6" s="1"/>
      <x:c r="O6" s="1"/>
    </x:row>
    <x:row r="7" ht="28" customHeight="1">
      <x:c r="A7" s="22" t="n">
        <x:f>COUNTA('Obligations Tracker'!$A$7:$A$14)</x:f>
        <x:v>8</x:v>
      </x:c>
      <x:c r="B7" s="23"/>
      <x:c r="C7" s="1"/>
      <x:c r="D7" s="22" t="n">
        <x:f>COUNTIF('Obligations Tracker'!$H$7:$H$14,"Non-standard")</x:f>
        <x:v>6</x:v>
      </x:c>
      <x:c r="E7" s="23"/>
      <x:c r="F7" s="1"/>
      <x:c r="G7" s="22" t="n">
        <x:f>COUNTIF('Obligations Tracker'!$E$7:$E$14,"Yes")</x:f>
        <x:v>2</x:v>
      </x:c>
      <x:c r="H7" s="23"/>
      <x:c r="I7" s="1"/>
      <x:c r="J7" s="1"/>
      <x:c r="K7" s="1"/>
      <x:c r="L7" s="1"/>
      <x:c r="M7" s="1"/>
      <x:c r="N7" s="1"/>
      <x:c r="O7" s="1"/>
    </x:row>
    <x:row r="8" ht="28" customHeight="1">
      <x:c r="A8" s="24"/>
      <x:c r="B8" s="25"/>
      <x:c r="C8" s="1"/>
      <x:c r="D8" s="24"/>
      <x:c r="E8" s="25"/>
      <x:c r="F8" s="1"/>
      <x:c r="G8" s="24"/>
      <x:c r="H8" s="25"/>
      <x:c r="I8" s="1"/>
      <x:c r="J8" s="1"/>
      <x:c r="K8" s="1"/>
      <x:c r="L8" s="1"/>
      <x:c r="M8" s="1"/>
      <x:c r="N8" s="1"/>
      <x:c r="O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>
      <x:c r="A11" s="26" t="str">
        <x:v>WHAT THIS SAMPLE DEMONSTRATES</x:v>
      </x:c>
      <x:c r="B11" s="26"/>
      <x:c r="C11" s="26"/>
      <x:c r="D11" s="26"/>
      <x:c r="E11" s="26"/>
      <x:c r="F11" s="26"/>
      <x:c r="G11" s="26"/>
      <x:c r="H11" s="26"/>
      <x:c r="I11" s="1"/>
      <x:c r="J11" s="1"/>
      <x:c r="K11" s="1"/>
      <x:c r="L11" s="1"/>
      <x:c r="M11" s="1"/>
      <x:c r="N11" s="1"/>
      <x:c r="O11" s="1"/>
    </x:row>
    <x:row r="12">
      <x:c r="A12" s="32" t="str">
        <x:v>1</x:v>
      </x:c>
      <x:c r="B12" s="29" t="str">
        <x:v>Clause extraction</x:v>
      </x:c>
      <x:c r="C12" s="29" t="str"/>
      <x:c r="D12" s="32" t="str">
        <x:v>2</x:v>
      </x:c>
      <x:c r="E12" s="29" t="str">
        <x:v>Deviation tracking</x:v>
      </x:c>
      <x:c r="F12" s="29" t="str"/>
      <x:c r="G12" s="32" t="str">
        <x:v>3</x:v>
      </x:c>
      <x:c r="H12" s="29" t="str">
        <x:v>Operational follow-through</x:v>
      </x:c>
      <x:c r="I12" s="1"/>
      <x:c r="J12" s="1"/>
      <x:c r="K12" s="1"/>
      <x:c r="L12" s="1"/>
      <x:c r="M12" s="1"/>
      <x:c r="N12" s="1"/>
      <x:c r="O12" s="1"/>
    </x:row>
    <x:row r="13" ht="52" customHeight="1">
      <x:c r="A13" s="29" t="str"/>
      <x:c r="B13" s="29" t="str">
        <x:v>Key notice, method, consent, and timing requirements are translated into a structured reference.</x:v>
      </x:c>
      <x:c r="C13" s="29" t="str"/>
      <x:c r="D13" s="29" t="str"/>
      <x:c r="E13" s="29" t="str">
        <x:v>Formula-driven flags distinguish standard terms from special contractual obligations.</x:v>
      </x:c>
      <x:c r="F13" s="29" t="str"/>
      <x:c r="G13" s="29" t="str"/>
      <x:c r="H13" s="29" t="str">
        <x:v>Owners and required actions make obligations usable by Legal, Privacy, and Operations teams.</x:v>
      </x:c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40" customHeight="1">
      <x:c r="A15" s="1"/>
      <x:c r="B15" s="33" t="str">
        <x:v>Portfolio attribution</x:v>
      </x:c>
      <x:c r="C15" s="33"/>
      <x:c r="D15" s="33" t="str">
        <x:v>Designed and created by Hans Bragas as part of contract and legal operations support.</x:v>
      </x:c>
      <x:c r="E15" s="33"/>
      <x:c r="F15" s="33"/>
      <x:c r="G15" s="33"/>
      <x:c r="H15" s="33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4" customHeight="1">
      <x:c r="A17" s="37" t="str">
        <x:v>For demonstration only. This tracker supports administrative issue-spotting and escalation; it is not legal advice or a substitute for counsel's review.</x:v>
      </x:c>
      <x:c r="B17" s="37"/>
      <x:c r="C17" s="37"/>
      <x:c r="D17" s="37"/>
      <x:c r="E17" s="37"/>
      <x:c r="F17" s="37"/>
      <x:c r="G17" s="37"/>
      <x:c r="H17" s="37"/>
      <x:c r="I17" s="1"/>
      <x:c r="J17" s="1"/>
      <x:c r="K17" s="1"/>
      <x:c r="L17" s="1"/>
      <x:c r="M17" s="1"/>
      <x:c r="N17" s="1"/>
      <x:c r="O17" s="1"/>
    </x:row>
    <x:row r="18" ht="24" customHeight="1">
      <x:c r="A18" s="37"/>
      <x:c r="B18" s="37"/>
      <x:c r="C18" s="37"/>
      <x:c r="D18" s="37"/>
      <x:c r="E18" s="37"/>
      <x:c r="F18" s="37"/>
      <x:c r="G18" s="37"/>
      <x:c r="H18" s="37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</x:sheetData>
  <x:mergeCells>
    <x:mergeCell ref="A1:H2"/>
    <x:mergeCell ref="A4:H4"/>
    <x:mergeCell ref="A6:B6"/>
    <x:mergeCell ref="A7:B8"/>
    <x:mergeCell ref="D6:E6"/>
    <x:mergeCell ref="D7:E8"/>
    <x:mergeCell ref="G6:H6"/>
    <x:mergeCell ref="G7:H8"/>
    <x:mergeCell ref="A11:H11"/>
    <x:mergeCell ref="B15:C15"/>
    <x:mergeCell ref="D15:H15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10" hidden="0" customWidth="1"/>
    <x:col min="4" max="4" width="17" hidden="0" customWidth="1"/>
    <x:col min="5" max="5" width="13" hidden="0" customWidth="1"/>
    <x:col min="6" max="6" width="14" hidden="0" customWidth="1"/>
    <x:col min="7" max="7" width="31" hidden="0" customWidth="1"/>
    <x:col min="8" max="8" width="17" hidden="0" customWidth="1"/>
    <x:col min="9" max="9" width="11" hidden="0" customWidth="1"/>
    <x:col min="10" max="10" width="19" hidden="0" customWidth="1"/>
    <x:col min="11" max="11" width="30" hidden="0" customWidth="1"/>
    <x:col min="12" max="12" width="17" hidden="0" customWidth="1"/>
    <x:col min="13" max="13" width="14" hidden="0" customWidth="1"/>
    <x:col min="14" max="14" width="14" hidden="0" customWidth="1"/>
    <x:col min="15" max="15" width="16" hidden="0" customWidth="1"/>
  </x:cols>
  <x:sheetData>
    <x:row r="1" ht="25" customHeight="1">
      <x:c r="A1" s="39" t="str">
        <x:v>FICTIONAL SUBPROCESSOR OBLIGATIONS TRACKER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</x:row>
    <x:row r="2" ht="25" customHeight="1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 ht="26" customHeight="1">
      <x:c r="A3" s="6" t="str">
        <x:v>Reference point: compare negotiated obligations against the illustrative standard in Rules &amp; Legend.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6" customHeight="1">
      <x:c r="A5" s="40" t="str">
        <x:v>Use filters to identify shorter notice periods, prior-consent requirements, special delivery methods, and assigned follow-up actions.</x:v>
      </x:c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</x:row>
    <x:row r="6" ht="44" customHeight="1">
      <x:c r="A6" s="43" t="str">
        <x:v>Counterparty</x:v>
      </x:c>
      <x:c r="B6" s="43" t="str">
        <x:v>Agreement</x:v>
      </x:c>
      <x:c r="C6" s="43" t="str">
        <x:v>Notice Days</x:v>
      </x:c>
      <x:c r="D6" s="43" t="str">
        <x:v>Notice Method</x:v>
      </x:c>
      <x:c r="E6" s="43" t="str">
        <x:v>Prior Consent?</x:v>
      </x:c>
      <x:c r="F6" s="43" t="str">
        <x:v>Objection Right?</x:v>
      </x:c>
      <x:c r="G6" s="43" t="str">
        <x:v>Requirement Summary</x:v>
      </x:c>
      <x:c r="H6" s="43" t="str">
        <x:v>Term Classification</x:v>
      </x:c>
      <x:c r="I6" s="43" t="str">
        <x:v>Risk Level</x:v>
      </x:c>
      <x:c r="J6" s="43" t="str">
        <x:v>Action Owner</x:v>
      </x:c>
      <x:c r="K6" s="43" t="str">
        <x:v>Operational Action</x:v>
      </x:c>
      <x:c r="L6" s="43" t="str">
        <x:v>Clause Ref.</x:v>
      </x:c>
      <x:c r="M6" s="43" t="str">
        <x:v>Effective Date</x:v>
      </x:c>
      <x:c r="N6" s="43" t="str">
        <x:v>Last Reviewed</x:v>
      </x:c>
      <x:c r="O6" s="43" t="str">
        <x:v>Review Status</x:v>
      </x:c>
    </x:row>
    <x:row r="7" ht="66" customHeight="1">
      <x:c r="A7" s="63" t="str">
        <x:v>Northstar Labs</x:v>
      </x:c>
      <x:c r="B7" s="64" t="str">
        <x:v>DPA</x:v>
      </x:c>
      <x:c r="C7" s="72" t="n">
        <x:v>30</x:v>
      </x:c>
      <x:c r="D7" s="64" t="str">
        <x:v>Email notice</x:v>
      </x:c>
      <x:c r="E7" s="64" t="str">
        <x:v>No</x:v>
      </x:c>
      <x:c r="F7" s="64" t="str">
        <x:v>Yes</x:v>
      </x:c>
      <x:c r="G7" s="64" t="str">
        <x:v>Provide advance notice before appointing a new subprocessor.</x:v>
      </x:c>
      <x:c r="H7" s="64" t="str">
        <x:f>IF(OR(C7&lt;'Rules &amp; Legend'!$B$4,E7="Yes",D7&lt;&gt;"Email notice"),"Non-standard","Standard")</x:f>
        <x:v>Standard</x:v>
      </x:c>
      <x:c r="I7" s="64" t="str">
        <x:f>IF(E7="Yes","High",IF(C7&lt;'Rules &amp; Legend'!$B$5,"High",IF(OR(C7&lt;'Rules &amp; Legend'!$B$4,D7&lt;&gt;"Email notice"),"Medium","Low")))</x:f>
        <x:v>Low</x:v>
      </x:c>
      <x:c r="J7" s="64" t="str">
        <x:v>Privacy Operations</x:v>
      </x:c>
      <x:c r="K7" s="64" t="str">
        <x:v>Send notice using approved distribution list.</x:v>
      </x:c>
      <x:c r="L7" s="64" t="str">
        <x:v>Schedule 2, Sec. 4</x:v>
      </x:c>
      <x:c r="M7" s="75" t="n">
        <x:v>45672</x:v>
      </x:c>
      <x:c r="N7" s="75" t="n">
        <x:v>46246</x:v>
      </x:c>
      <x:c r="O7" s="65" t="str">
        <x:v>Current</x:v>
      </x:c>
    </x:row>
    <x:row r="8" ht="66" customHeight="1">
      <x:c r="A8" s="66" t="str">
        <x:v>Harborline Health</x:v>
      </x:c>
      <x:c r="B8" s="67" t="str">
        <x:v>DPA</x:v>
      </x:c>
      <x:c r="C8" s="73" t="n">
        <x:v>10</x:v>
      </x:c>
      <x:c r="D8" s="67" t="str">
        <x:v>Written notice</x:v>
      </x:c>
      <x:c r="E8" s="67" t="str">
        <x:v>No</x:v>
      </x:c>
      <x:c r="F8" s="67" t="str">
        <x:v>Yes</x:v>
      </x:c>
      <x:c r="G8" s="67" t="str">
        <x:v>Shortened notice period applies to additions or replacements.</x:v>
      </x:c>
      <x:c r="H8" s="67" t="str">
        <x:f>IF(OR(C8&lt;'Rules &amp; Legend'!$B$4,E8="Yes",D8&lt;&gt;"Email notice"),"Non-standard","Standard")</x:f>
        <x:v>Non-standard</x:v>
      </x:c>
      <x:c r="I8" s="67" t="str">
        <x:f>IF(E8="Yes","High",IF(C8&lt;'Rules &amp; Legend'!$B$5,"High",IF(OR(C8&lt;'Rules &amp; Legend'!$B$4,D8&lt;&gt;"Email notice"),"Medium","Low")))</x:f>
        <x:v>High</x:v>
      </x:c>
      <x:c r="J8" s="67" t="str">
        <x:v>Contract Operations</x:v>
      </x:c>
      <x:c r="K8" s="67" t="str">
        <x:v>Flag account before any subprocessor update.</x:v>
      </x:c>
      <x:c r="L8" s="67" t="str">
        <x:v>Annex B, Sec. 7</x:v>
      </x:c>
      <x:c r="M8" s="76" t="n">
        <x:v>45717</x:v>
      </x:c>
      <x:c r="N8" s="76" t="n">
        <x:v>46254</x:v>
      </x:c>
      <x:c r="O8" s="68" t="str">
        <x:v>Current</x:v>
      </x:c>
    </x:row>
    <x:row r="9" ht="66" customHeight="1">
      <x:c r="A9" s="66" t="str">
        <x:v>Pine &amp; Pixel Co.</x:v>
      </x:c>
      <x:c r="B9" s="67" t="str">
        <x:v>MSA + DPA</x:v>
      </x:c>
      <x:c r="C9" s="73" t="n">
        <x:v>30</x:v>
      </x:c>
      <x:c r="D9" s="67" t="str">
        <x:v>Customer portal</x:v>
      </x:c>
      <x:c r="E9" s="67" t="str">
        <x:v>No</x:v>
      </x:c>
      <x:c r="F9" s="67" t="str">
        <x:v>Yes</x:v>
      </x:c>
      <x:c r="G9" s="67" t="str">
        <x:v>Notice must be posted in the designated customer portal.</x:v>
      </x:c>
      <x:c r="H9" s="67" t="str">
        <x:f>IF(OR(C9&lt;'Rules &amp; Legend'!$B$4,E9="Yes",D9&lt;&gt;"Email notice"),"Non-standard","Standard")</x:f>
        <x:v>Non-standard</x:v>
      </x:c>
      <x:c r="I9" s="67" t="str">
        <x:f>IF(E9="Yes","High",IF(C9&lt;'Rules &amp; Legend'!$B$5,"High",IF(OR(C9&lt;'Rules &amp; Legend'!$B$4,D9&lt;&gt;"Email notice"),"Medium","Low")))</x:f>
        <x:v>Medium</x:v>
      </x:c>
      <x:c r="J9" s="67" t="str">
        <x:v>Privacy Operations</x:v>
      </x:c>
      <x:c r="K9" s="67" t="str">
        <x:v>Maintain portal access and publication evidence.</x:v>
      </x:c>
      <x:c r="L9" s="67" t="str">
        <x:v>DPA Sec. 6.2</x:v>
      </x:c>
      <x:c r="M9" s="76" t="n">
        <x:v>45606</x:v>
      </x:c>
      <x:c r="N9" s="76" t="n">
        <x:v>46233</x:v>
      </x:c>
      <x:c r="O9" s="68" t="str">
        <x:v>Current</x:v>
      </x:c>
    </x:row>
    <x:row r="10" ht="66" customHeight="1">
      <x:c r="A10" s="66" t="str">
        <x:v>Bluebird Medical</x:v>
      </x:c>
      <x:c r="B10" s="67" t="str">
        <x:v>DPA</x:v>
      </x:c>
      <x:c r="C10" s="73" t="n">
        <x:v>0</x:v>
      </x:c>
      <x:c r="D10" s="67" t="str">
        <x:v>Written consent</x:v>
      </x:c>
      <x:c r="E10" s="67" t="str">
        <x:v>Yes</x:v>
      </x:c>
      <x:c r="F10" s="67" t="str">
        <x:v>No</x:v>
      </x:c>
      <x:c r="G10" s="67" t="str">
        <x:v>Written authorization is required before engaging a new subprocessor.</x:v>
      </x:c>
      <x:c r="H10" s="67" t="str">
        <x:f>IF(OR(C10&lt;'Rules &amp; Legend'!$B$4,E10="Yes",D10&lt;&gt;"Email notice"),"Non-standard","Standard")</x:f>
        <x:v>Non-standard</x:v>
      </x:c>
      <x:c r="I10" s="67" t="str">
        <x:f>IF(E10="Yes","High",IF(C10&lt;'Rules &amp; Legend'!$B$5,"High",IF(OR(C10&lt;'Rules &amp; Legend'!$B$4,D10&lt;&gt;"Email notice"),"Medium","Low")))</x:f>
        <x:v>High</x:v>
      </x:c>
      <x:c r="J10" s="67" t="str">
        <x:v>Legal</x:v>
      </x:c>
      <x:c r="K10" s="67" t="str">
        <x:v>Escalate for written approval before onboarding.</x:v>
      </x:c>
      <x:c r="L10" s="67" t="str">
        <x:v>Sec. 5.1</x:v>
      </x:c>
      <x:c r="M10" s="76" t="n">
        <x:v>45826</x:v>
      </x:c>
      <x:c r="N10" s="76" t="n">
        <x:v>46256</x:v>
      </x:c>
      <x:c r="O10" s="68" t="str">
        <x:v>Priority Review</x:v>
      </x:c>
    </x:row>
    <x:row r="11" ht="66" customHeight="1">
      <x:c r="A11" s="66" t="str">
        <x:v>Maple Street Retail</x:v>
      </x:c>
      <x:c r="B11" s="67" t="str">
        <x:v>Service Agreement</x:v>
      </x:c>
      <x:c r="C11" s="73" t="n">
        <x:v>15</x:v>
      </x:c>
      <x:c r="D11" s="67" t="str">
        <x:v>Email notice</x:v>
      </x:c>
      <x:c r="E11" s="67" t="str">
        <x:v>No</x:v>
      </x:c>
      <x:c r="F11" s="67" t="str">
        <x:v>Yes</x:v>
      </x:c>
      <x:c r="G11" s="67" t="str">
        <x:v>Notice is required at least fifteen days before the proposed change.</x:v>
      </x:c>
      <x:c r="H11" s="67" t="str">
        <x:f>IF(OR(C11&lt;'Rules &amp; Legend'!$B$4,E11="Yes",D11&lt;&gt;"Email notice"),"Non-standard","Standard")</x:f>
        <x:v>Non-standard</x:v>
      </x:c>
      <x:c r="I11" s="67" t="str">
        <x:f>IF(E11="Yes","High",IF(C11&lt;'Rules &amp; Legend'!$B$5,"High",IF(OR(C11&lt;'Rules &amp; Legend'!$B$4,D11&lt;&gt;"Email notice"),"Medium","Low")))</x:f>
        <x:v>Medium</x:v>
      </x:c>
      <x:c r="J11" s="67" t="str">
        <x:v>Contract Operations</x:v>
      </x:c>
      <x:c r="K11" s="67" t="str">
        <x:v>Add account to shortened-notice tracker.</x:v>
      </x:c>
      <x:c r="L11" s="67" t="str">
        <x:v>Exhibit C, Sec. 3</x:v>
      </x:c>
      <x:c r="M11" s="76" t="n">
        <x:v>45870</x:v>
      </x:c>
      <x:c r="N11" s="76" t="n">
        <x:v>46239</x:v>
      </x:c>
      <x:c r="O11" s="68" t="str">
        <x:v>Current</x:v>
      </x:c>
    </x:row>
    <x:row r="12" ht="66" customHeight="1">
      <x:c r="A12" s="66" t="str">
        <x:v>Aurora Learning</x:v>
      </x:c>
      <x:c r="B12" s="67" t="str">
        <x:v>DPA</x:v>
      </x:c>
      <x:c r="C12" s="73" t="n">
        <x:v>30</x:v>
      </x:c>
      <x:c r="D12" s="67" t="str">
        <x:v>Email notice</x:v>
      </x:c>
      <x:c r="E12" s="67" t="str">
        <x:v>No</x:v>
      </x:c>
      <x:c r="F12" s="67" t="str">
        <x:v>Yes</x:v>
      </x:c>
      <x:c r="G12" s="67" t="str">
        <x:v>General authorization applies with a thirty-day objection window.</x:v>
      </x:c>
      <x:c r="H12" s="67" t="str">
        <x:f>IF(OR(C12&lt;'Rules &amp; Legend'!$B$4,E12="Yes",D12&lt;&gt;"Email notice"),"Non-standard","Standard")</x:f>
        <x:v>Standard</x:v>
      </x:c>
      <x:c r="I12" s="67" t="str">
        <x:f>IF(E12="Yes","High",IF(C12&lt;'Rules &amp; Legend'!$B$5,"High",IF(OR(C12&lt;'Rules &amp; Legend'!$B$4,D12&lt;&gt;"Email notice"),"Medium","Low")))</x:f>
        <x:v>Low</x:v>
      </x:c>
      <x:c r="J12" s="67" t="str">
        <x:v>Privacy Operations</x:v>
      </x:c>
      <x:c r="K12" s="67" t="str">
        <x:v>Follow standard notification workflow.</x:v>
      </x:c>
      <x:c r="L12" s="67" t="str">
        <x:v>Sec. 8</x:v>
      </x:c>
      <x:c r="M12" s="76" t="n">
        <x:v>46034</x:v>
      </x:c>
      <x:c r="N12" s="76" t="n">
        <x:v>46259</x:v>
      </x:c>
      <x:c r="O12" s="68" t="str">
        <x:v>Current</x:v>
      </x:c>
    </x:row>
    <x:row r="13" ht="66" customHeight="1">
      <x:c r="A13" s="66" t="str">
        <x:v>Cedarworks Media</x:v>
      </x:c>
      <x:c r="B13" s="67" t="str">
        <x:v>DPA</x:v>
      </x:c>
      <x:c r="C13" s="73" t="n">
        <x:v>20</x:v>
      </x:c>
      <x:c r="D13" s="67" t="str">
        <x:v>Registered mail</x:v>
      </x:c>
      <x:c r="E13" s="67" t="str">
        <x:v>No</x:v>
      </x:c>
      <x:c r="F13" s="67" t="str">
        <x:v>Yes</x:v>
      </x:c>
      <x:c r="G13" s="67" t="str">
        <x:v>Notice must be delivered using the contract's formal notice method.</x:v>
      </x:c>
      <x:c r="H13" s="67" t="str">
        <x:f>IF(OR(C13&lt;'Rules &amp; Legend'!$B$4,E13="Yes",D13&lt;&gt;"Email notice"),"Non-standard","Standard")</x:f>
        <x:v>Non-standard</x:v>
      </x:c>
      <x:c r="I13" s="67" t="str">
        <x:f>IF(E13="Yes","High",IF(C13&lt;'Rules &amp; Legend'!$B$5,"High",IF(OR(C13&lt;'Rules &amp; Legend'!$B$4,D13&lt;&gt;"Email notice"),"Medium","Low")))</x:f>
        <x:v>Medium</x:v>
      </x:c>
      <x:c r="J13" s="67" t="str">
        <x:v>Legal Operations</x:v>
      </x:c>
      <x:c r="K13" s="67" t="str">
        <x:v>Coordinate formal notice and retain delivery proof.</x:v>
      </x:c>
      <x:c r="L13" s="67" t="str">
        <x:v>Notices Sec. 12</x:v>
      </x:c>
      <x:c r="M13" s="76" t="n">
        <x:v>45920</x:v>
      </x:c>
      <x:c r="N13" s="76" t="n">
        <x:v>46187</x:v>
      </x:c>
      <x:c r="O13" s="68" t="str">
        <x:v>Review Due</x:v>
      </x:c>
    </x:row>
    <x:row r="14" ht="66" customHeight="1">
      <x:c r="A14" s="69" t="str">
        <x:v>Lumen Support</x:v>
      </x:c>
      <x:c r="B14" s="70" t="str">
        <x:v>DPA</x:v>
      </x:c>
      <x:c r="C14" s="74" t="n">
        <x:v>30</x:v>
      </x:c>
      <x:c r="D14" s="70" t="str">
        <x:v>Email notice</x:v>
      </x:c>
      <x:c r="E14" s="70" t="str">
        <x:v>Yes</x:v>
      </x:c>
      <x:c r="F14" s="70" t="str">
        <x:v>Yes</x:v>
      </x:c>
      <x:c r="G14" s="70" t="str">
        <x:v>Customer approval is required despite the standard notice period.</x:v>
      </x:c>
      <x:c r="H14" s="70" t="str">
        <x:f>IF(OR(C14&lt;'Rules &amp; Legend'!$B$4,E14="Yes",D14&lt;&gt;"Email notice"),"Non-standard","Standard")</x:f>
        <x:v>Non-standard</x:v>
      </x:c>
      <x:c r="I14" s="70" t="str">
        <x:f>IF(E14="Yes","High",IF(C14&lt;'Rules &amp; Legend'!$B$5,"High",IF(OR(C14&lt;'Rules &amp; Legend'!$B$4,D14&lt;&gt;"Email notice"),"Medium","Low")))</x:f>
        <x:v>High</x:v>
      </x:c>
      <x:c r="J14" s="70" t="str">
        <x:v>Legal</x:v>
      </x:c>
      <x:c r="K14" s="70" t="str">
        <x:v>Obtain written consent before implementation.</x:v>
      </x:c>
      <x:c r="L14" s="70" t="str">
        <x:v>Schedule A, Sec. 9</x:v>
      </x:c>
      <x:c r="M14" s="77" t="n">
        <x:v>45996</x:v>
      </x:c>
      <x:c r="N14" s="77" t="n">
        <x:v>46261</x:v>
      </x:c>
      <x:c r="O14" s="71" t="str">
        <x:v>Priority Review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</x:sheetData>
  <x:mergeCells>
    <x:mergeCell ref="A1:O2"/>
    <x:mergeCell ref="A3:O3"/>
    <x:mergeCell ref="A5:O5"/>
  </x:mergeCells>
  <x:conditionalFormatting sqref="H7:H14">
    <x:cfRule type="containsText" dxfId="0" priority="1" operator="containsText" text="Non-standard"/>
    <x:cfRule type="containsText" dxfId="1" priority="2" operator="containsText" text="Standard"/>
  </x:conditionalFormatting>
  <x:conditionalFormatting sqref="I7:I14">
    <x:cfRule type="containsText" dxfId="2" priority="3" operator="containsText" text="High"/>
    <x:cfRule type="containsText" dxfId="3" priority="4" operator="containsText" text="Medium"/>
    <x:cfRule type="containsText" dxfId="4" priority="5" operator="containsText" text="Low"/>
  </x:conditionalFormatting>
  <x:dataValidations count="3">
    <x:dataValidation type="list" sqref="D7:D14">
      <x:formula1>"Email notice,Written notice,Customer portal,Registered mail,Written consent"</x:formula1>
    </x:dataValidation>
    <x:dataValidation type="list" sqref="E7:F14">
      <x:formula1>"Yes,No"</x:formula1>
    </x:dataValidation>
    <x:dataValidation type="list" sqref="O7:O14">
      <x:formula1>"Current,Review Due,Priority 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5" customHeight="1">
      <x:c r="A1" s="79" t="str">
        <x:v>ILLUSTRATIVE REVIEW RULES &amp; LEGEND</x:v>
      </x:c>
      <x:c r="B1" s="79"/>
      <x:c r="C1" s="79"/>
      <x:c r="D1" s="79"/>
      <x:c r="E1" s="79"/>
      <x:c r="F1" s="79"/>
      <x:c r="G1" s="1"/>
      <x:c r="H1" s="1"/>
      <x:c r="I1" s="1"/>
      <x:c r="J1" s="1"/>
      <x:c r="K1" s="1"/>
      <x:c r="L1" s="1"/>
      <x:c r="M1" s="1"/>
      <x:c r="N1" s="1"/>
      <x:c r="O1" s="1"/>
    </x:row>
    <x:row r="2" ht="25" customHeight="1">
      <x:c r="A2" s="79"/>
      <x:c r="B2" s="79"/>
      <x:c r="C2" s="79"/>
      <x:c r="D2" s="79"/>
      <x:c r="E2" s="79"/>
      <x:c r="F2" s="79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8" customHeight="1">
      <x:c r="A4" s="89" t="str">
        <x:v>Standard notice period</x:v>
      </x:c>
      <x:c r="B4" s="92" t="n">
        <x:v>30</x:v>
      </x:c>
      <x:c r="C4" s="1"/>
      <x:c r="D4" s="94" t="str">
        <x:v>HOW THE FLAGS WORK</x:v>
      </x:c>
      <x:c r="E4" s="94"/>
      <x:c r="F4" s="94"/>
      <x:c r="G4" s="1"/>
      <x:c r="H4" s="1"/>
      <x:c r="I4" s="1"/>
      <x:c r="J4" s="1"/>
      <x:c r="K4" s="1"/>
      <x:c r="L4" s="1"/>
      <x:c r="M4" s="1"/>
      <x:c r="N4" s="1"/>
      <x:c r="O4" s="1"/>
    </x:row>
    <x:row r="5" ht="32" customHeight="1">
      <x:c r="A5" s="90" t="str">
        <x:v>High-risk threshold</x:v>
      </x:c>
      <x:c r="B5" s="93" t="n">
        <x:v>15</x:v>
      </x:c>
      <x:c r="C5" s="1"/>
      <x:c r="D5" s="97" t="str">
        <x:v>Non-standard: shorter notice, prior consent, or a special delivery method.
High risk: prior consent or a notice period below the high-risk threshold.
These rules are illustrative workflow aids and require confirmation by qualified counsel.</x:v>
      </x:c>
      <x:c r="E5" s="97"/>
      <x:c r="F5" s="97"/>
      <x:c r="G5" s="1"/>
      <x:c r="H5" s="1"/>
      <x:c r="I5" s="1"/>
      <x:c r="J5" s="1"/>
      <x:c r="K5" s="1"/>
      <x:c r="L5" s="1"/>
      <x:c r="M5" s="1"/>
      <x:c r="N5" s="1"/>
      <x:c r="O5" s="1"/>
    </x:row>
    <x:row r="6" ht="32" customHeight="1">
      <x:c r="A6" s="90" t="str">
        <x:v>Standard notice method</x:v>
      </x:c>
      <x:c r="B6" s="83" t="str">
        <x:v>Email notice</x:v>
      </x:c>
      <x:c r="C6" s="1"/>
      <x:c r="D6" s="97"/>
      <x:c r="E6" s="97"/>
      <x:c r="F6" s="97"/>
      <x:c r="G6" s="1"/>
      <x:c r="H6" s="1"/>
      <x:c r="I6" s="1"/>
      <x:c r="J6" s="1"/>
      <x:c r="K6" s="1"/>
      <x:c r="L6" s="1"/>
      <x:c r="M6" s="1"/>
      <x:c r="N6" s="1"/>
      <x:c r="O6" s="1"/>
    </x:row>
    <x:row r="7" ht="32" customHeight="1">
      <x:c r="A7" s="91" t="str">
        <x:v>Standard consent position</x:v>
      </x:c>
      <x:c r="B7" s="85" t="str">
        <x:v>No prior consent</x:v>
      </x:c>
      <x:c r="C7" s="1"/>
      <x:c r="D7" s="97"/>
      <x:c r="E7" s="97"/>
      <x:c r="F7" s="97"/>
      <x:c r="G7" s="1"/>
      <x:c r="H7" s="1"/>
      <x:c r="I7" s="1"/>
      <x:c r="J7" s="1"/>
      <x:c r="K7" s="1"/>
      <x:c r="L7" s="1"/>
      <x:c r="M7" s="1"/>
      <x:c r="N7" s="1"/>
      <x:c r="O7" s="1"/>
    </x:row>
    <x:row r="8" ht="32" customHeight="1">
      <x:c r="A8" s="1"/>
      <x:c r="B8" s="1"/>
      <x:c r="C8" s="1"/>
      <x:c r="D8" s="97"/>
      <x:c r="E8" s="97"/>
      <x:c r="F8" s="97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8" customHeight="1">
      <x:c r="A10" s="37" t="str">
        <x:v>Confidentiality note: no names, clauses, links, dates, or obligations from the original employer records are reproduced in this workbook.</x:v>
      </x:c>
      <x:c r="B10" s="37"/>
      <x:c r="C10" s="37"/>
      <x:c r="D10" s="37"/>
      <x:c r="E10" s="37"/>
      <x:c r="F10" s="37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8" customHeight="1">
      <x:c r="A11" s="37"/>
      <x:c r="B11" s="37"/>
      <x:c r="C11" s="37"/>
      <x:c r="D11" s="37"/>
      <x:c r="E11" s="37"/>
      <x:c r="F11" s="37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</x:sheetData>
  <x:mergeCells>
    <x:mergeCell ref="A1:F2"/>
    <x:mergeCell ref="D4:F4"/>
    <x:mergeCell ref="D5:F8"/>
    <x:mergeCell ref="A10:F11"/>
  </x:mergeCells>
  <x:pageMargins left="0.7" right="0.7" top="0.75" bottom="0.75" header="0.3" footer="0.3"/>
</x:worksheet>
</file>